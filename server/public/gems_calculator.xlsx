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alculator" sheetId="2" state="visible" r:id="rId4"/>
    <sheet name="OCRMS Risk Map" sheetId="3" state="visible" r:id="rId5"/>
    <sheet name="OCTMS Risk Map" sheetId="4" state="visible" r:id="rId6"/>
    <sheet name="OCRMS Data" sheetId="5" state="visible" r:id="rId7"/>
    <sheet name="OCTMS Data" sheetId="6" state="visible" r:id="rId8"/>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311" authorId="0">
      <text>
        <r>
          <rPr>
            <sz val="10"/>
            <rFont val="Arial"/>
            <family val="2"/>
          </rPr>
          <t xml:space="preserve">Fixed value from BCC:COMPLIANCE:118/993, Annexure-I total risk score.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60" authorId="0">
      <text>
        <r>
          <rPr>
            <sz val="10"/>
            <rFont val="Arial"/>
            <family val="2"/>
          </rPr>
          <t xml:space="preserve">Fixed value from BCC:COMPLIANCE:118/993, Annexure-III total risk score.</t>
        </r>
      </text>
    </comment>
  </commentList>
</comments>
</file>

<file path=xl/sharedStrings.xml><?xml version="1.0" encoding="utf-8"?>
<sst xmlns="http://schemas.openxmlformats.org/spreadsheetml/2006/main" count="491" uniqueCount="282">
  <si>
    <t xml:space="preserve">GEMS Compliance Marks Calculator</t>
  </si>
  <si>
    <t xml:space="preserve">Region / Zone level — OCRMS (off-site) &amp; OCTMS (on-site) scoring per BCC:COMPLIANCE:118/993 (FY 2026-27)</t>
  </si>
  <si>
    <t xml:space="preserve">HOW TO USE</t>
  </si>
  <si>
    <t xml:space="preserve">1. Export your OCRMS pivot report from your compliance system, unchanged — branches as rows, parameter codes as column headers, Grand Total row and column included (the same shape your system already produces).</t>
  </si>
  <si>
    <t xml:space="preserve">2. Open the "OCRMS Data" tab. Select the WHOLE pivot table in your source (the "Row Labels" header cell through the Grand Total row and column) and paste it starting at cell A3 — nowhere else. Nothing needs reshaping; the sheet finds each parameter code and scores it automatically.</t>
  </si>
  <si>
    <t xml:space="preserve">3. Do the same on the "OCTMS Data" tab with your OCTMS export, pasted starting at cell A3 — that report is the other way round (parameter codes as rows, branch codes as columns) and this tab expects it that way.</t>
  </si>
  <si>
    <t xml:space="preserve">4. Go to the "Calculator" tab and fill in the yellow input cells: total branches in the region, your grade, CERMO-Nxt %, penalty marks, Compliance Forum and AEOA status, and the Part C (ATR closure) counts.</t>
  </si>
  <si>
    <t xml:space="preserve">5. The Grand Total (out of 10) updates automatically as you fill things in.</t>
  </si>
  <si>
    <t xml:space="preserve">CELL COLOUR KEY</t>
  </si>
  <si>
    <t xml:space="preserve">  Blue text on pale yellow  =  type your own value here</t>
  </si>
  <si>
    <t xml:space="preserve">  Black text                =  formula — do not overwrite</t>
  </si>
  <si>
    <t xml:space="preserve">  Green text                 =  a link pulling a value from another sheet</t>
  </si>
  <si>
    <t xml:space="preserve">WHAT EACH SHEET DOES</t>
  </si>
  <si>
    <t xml:space="preserve">  Calculator       Your inputs and the final marks (this is the only sheet most people need to touch).</t>
  </si>
  <si>
    <t xml:space="preserve">  OCRMS Data       Paste your OCRMS pivot export here. Auto-scores Part A and Part B for OCRMS.</t>
  </si>
  <si>
    <t xml:space="preserve">  OCTMS Data       Paste your OCTMS pivot export here. Auto-scores Part A and Part B for OCTMS.</t>
  </si>
  <si>
    <t xml:space="preserve">  OCRMS Risk Map   Reference table: all 67 Annexure-I parameters and their risk weights. Do not edit.</t>
  </si>
  <si>
    <t xml:space="preserve">  OCTMS Risk Map   Reference table: all 126 Annexure-III parameters and their risk weights. Do not edit.</t>
  </si>
  <si>
    <t xml:space="preserve">NOTES</t>
  </si>
  <si>
    <t xml:space="preserve">  - Part A treats a parameter as "hit" if ANY branch shows a non-compliance count above zero in it.</t>
  </si>
  <si>
    <t xml:space="preserve">  - Part B for OCRMS only counts a branch as non-complied if it hit a HIGH-risk parameter; OCTMS counts a branch as non-complied if it hit ANY parameter — this matches the circular text.</t>
  </si>
  <si>
    <t xml:space="preserve">  - "Total branches in the Region" is a separate manual entry because a fully-compliant branch will not appear as a row in a non-compliance pivot report at all.</t>
  </si>
  <si>
    <t xml:space="preserve">  - This workbook has no macros and needs no internet connection — safe to use on a locked-down machine.</t>
  </si>
  <si>
    <t xml:space="preserve">Fill in the yellow cells. Everything else updates automatically.</t>
  </si>
  <si>
    <t xml:space="preserve">REGION SETUP</t>
  </si>
  <si>
    <t xml:space="preserve">Total branches in the Region</t>
  </si>
  <si>
    <t xml:space="preserve">Used as the denominator for Part B in both OCRMS and OCTMS.</t>
  </si>
  <si>
    <t xml:space="preserve">OCRMS — OFF-SITE (max 3)</t>
  </si>
  <si>
    <t xml:space="preserve">Part A — Parameter Risk Score (auto)</t>
  </si>
  <si>
    <t xml:space="preserve">Part B — Non-complied Branches (auto)</t>
  </si>
  <si>
    <t xml:space="preserve">Part C — initial non-complied instances</t>
  </si>
  <si>
    <t xml:space="preserve">Part C — closed &amp; verified (month end)</t>
  </si>
  <si>
    <t xml:space="preserve">Part C — ATR Closure (auto)</t>
  </si>
  <si>
    <t xml:space="preserve">OCRMS TOTAL (/3)</t>
  </si>
  <si>
    <t xml:space="preserve">OCTMS — ON-SITE (max 3)</t>
  </si>
  <si>
    <t xml:space="preserve">Part C — closed &amp; verified (60th day)</t>
  </si>
  <si>
    <t xml:space="preserve">OCTMS TOTAL (/3)</t>
  </si>
  <si>
    <t xml:space="preserve">OTHER KRA ITEMS</t>
  </si>
  <si>
    <t xml:space="preserve">Grade</t>
  </si>
  <si>
    <t xml:space="preserve">Regional Head / DRM</t>
  </si>
  <si>
    <t xml:space="preserve">CERMO-Nxt compliance level (%)</t>
  </si>
  <si>
    <t xml:space="preserve">Regulatory penalty marks — month 1 / 2 / 3</t>
  </si>
  <si>
    <t xml:space="preserve">Compliance Forum Meeting held &amp; reported?</t>
  </si>
  <si>
    <t xml:space="preserve">Yes</t>
  </si>
  <si>
    <t xml:space="preserve">AEOA Scheme data submitted to RCO? (Regional Head/DRM only)</t>
  </si>
  <si>
    <t xml:space="preserve">Forum max (role-based)</t>
  </si>
  <si>
    <t xml:space="preserve">AEOA applies?</t>
  </si>
  <si>
    <t xml:space="preserve">Cermo marks (0-1)</t>
  </si>
  <si>
    <t xml:space="preserve">Penalty marks (avg)</t>
  </si>
  <si>
    <t xml:space="preserve">Forum marks</t>
  </si>
  <si>
    <t xml:space="preserve">AEOA marks</t>
  </si>
  <si>
    <t xml:space="preserve">TOTALS</t>
  </si>
  <si>
    <t xml:space="preserve">OCRMS bucket (Total + Cermo + AEOA)</t>
  </si>
  <si>
    <t xml:space="preserve">OCTMS bucket (Total + Penalty + Forum)</t>
  </si>
  <si>
    <t xml:space="preserve">GRAND TOTAL (out of 10)</t>
  </si>
  <si>
    <t xml:space="preserve">/ 10</t>
  </si>
  <si>
    <t xml:space="preserve">Annexure-I — OCRMS parameter risk weights (reference only, do not edit)</t>
  </si>
  <si>
    <t xml:space="preserve">Parameter Code</t>
  </si>
  <si>
    <t xml:space="preserve">Risk Rating</t>
  </si>
  <si>
    <t xml:space="preserve">Weight</t>
  </si>
  <si>
    <t xml:space="preserve">PARAMETER-001</t>
  </si>
  <si>
    <t xml:space="preserve">L</t>
  </si>
  <si>
    <t xml:space="preserve">PARAMETER-002</t>
  </si>
  <si>
    <t xml:space="preserve">PARAMETER-003</t>
  </si>
  <si>
    <t xml:space="preserve">H</t>
  </si>
  <si>
    <t xml:space="preserve">PARAMETER-005</t>
  </si>
  <si>
    <t xml:space="preserve">M</t>
  </si>
  <si>
    <t xml:space="preserve">PARAMETER-006</t>
  </si>
  <si>
    <t xml:space="preserve">PARAMETER-007</t>
  </si>
  <si>
    <t xml:space="preserve">PARAMETER-008</t>
  </si>
  <si>
    <t xml:space="preserve">PARAMETER-009</t>
  </si>
  <si>
    <t xml:space="preserve">PARAMETER-010</t>
  </si>
  <si>
    <t xml:space="preserve">PARAMETER-011</t>
  </si>
  <si>
    <t xml:space="preserve">PARAMETER-012</t>
  </si>
  <si>
    <t xml:space="preserve">PARAMETER-014</t>
  </si>
  <si>
    <t xml:space="preserve">PARAMETER-016</t>
  </si>
  <si>
    <t xml:space="preserve">PARAMETER-017</t>
  </si>
  <si>
    <t xml:space="preserve">PARAMETER-018</t>
  </si>
  <si>
    <t xml:space="preserve">PARAMETER-019</t>
  </si>
  <si>
    <t xml:space="preserve">PARAMETER-020</t>
  </si>
  <si>
    <t xml:space="preserve">PARAMETER-021</t>
  </si>
  <si>
    <t xml:space="preserve">PARAMETER-022</t>
  </si>
  <si>
    <t xml:space="preserve">PARAMETER-023</t>
  </si>
  <si>
    <t xml:space="preserve">PARAMETER-024</t>
  </si>
  <si>
    <t xml:space="preserve">PARAMETER-026</t>
  </si>
  <si>
    <t xml:space="preserve">PARAMETER-027</t>
  </si>
  <si>
    <t xml:space="preserve">PARAMETER-028</t>
  </si>
  <si>
    <t xml:space="preserve">PARAMETER-029</t>
  </si>
  <si>
    <t xml:space="preserve">PARAMETER-031</t>
  </si>
  <si>
    <t xml:space="preserve">PARAMETER-033</t>
  </si>
  <si>
    <t xml:space="preserve">PARAMETER-034</t>
  </si>
  <si>
    <t xml:space="preserve">PARAMETER-035</t>
  </si>
  <si>
    <t xml:space="preserve">PARAMETER-041</t>
  </si>
  <si>
    <t xml:space="preserve">PARAMETER-042</t>
  </si>
  <si>
    <t xml:space="preserve">PARAMETER-044</t>
  </si>
  <si>
    <t xml:space="preserve">PARAMETER-047</t>
  </si>
  <si>
    <t xml:space="preserve">PARAMETER-048</t>
  </si>
  <si>
    <t xml:space="preserve">PARAMETER-051</t>
  </si>
  <si>
    <t xml:space="preserve">PARAMETER-052</t>
  </si>
  <si>
    <t xml:space="preserve">PARAMETER-053</t>
  </si>
  <si>
    <t xml:space="preserve">PARAMETER-054</t>
  </si>
  <si>
    <t xml:space="preserve">PARAMETER-055</t>
  </si>
  <si>
    <t xml:space="preserve">PARAMETER-056</t>
  </si>
  <si>
    <t xml:space="preserve">PARAMETER-057</t>
  </si>
  <si>
    <t xml:space="preserve">PARAMETER-058</t>
  </si>
  <si>
    <t xml:space="preserve">PARAMETER-060</t>
  </si>
  <si>
    <t xml:space="preserve">PARAMETER-061</t>
  </si>
  <si>
    <t xml:space="preserve">PARAMETER-062</t>
  </si>
  <si>
    <t xml:space="preserve">PARAMETER-063</t>
  </si>
  <si>
    <t xml:space="preserve">PARAMETER-064</t>
  </si>
  <si>
    <t xml:space="preserve">PARAMETER-065</t>
  </si>
  <si>
    <t xml:space="preserve">PARAMETER-066</t>
  </si>
  <si>
    <t xml:space="preserve">PARAMETER-067</t>
  </si>
  <si>
    <t xml:space="preserve">PARAMETER-068</t>
  </si>
  <si>
    <t xml:space="preserve">PARAMETER-069</t>
  </si>
  <si>
    <t xml:space="preserve">PARAMETER-070</t>
  </si>
  <si>
    <t xml:space="preserve">PARAMETER-071</t>
  </si>
  <si>
    <t xml:space="preserve">PARAMETER-072</t>
  </si>
  <si>
    <t xml:space="preserve">PARAMETER-073</t>
  </si>
  <si>
    <t xml:space="preserve">PARAMETER-074</t>
  </si>
  <si>
    <t xml:space="preserve">PARAMETER-075</t>
  </si>
  <si>
    <t xml:space="preserve">PARAMETER-076</t>
  </si>
  <si>
    <t xml:space="preserve">PARAMETER-077</t>
  </si>
  <si>
    <t xml:space="preserve">PARAMETER-078</t>
  </si>
  <si>
    <t xml:space="preserve">PARAMETER-079</t>
  </si>
  <si>
    <t xml:space="preserve">PARAMETER-080</t>
  </si>
  <si>
    <t xml:space="preserve">PARAMETER-081</t>
  </si>
  <si>
    <t xml:space="preserve">PARAMETER-082</t>
  </si>
  <si>
    <t xml:space="preserve">PARAMETER-083</t>
  </si>
  <si>
    <t xml:space="preserve">PARAMETER-084</t>
  </si>
  <si>
    <t xml:space="preserve">Total risk denominator (fixed, per circular): 139</t>
  </si>
  <si>
    <t xml:space="preserve">Annexure-III — OCTMS parameter risk weights (reference only, do not edit)</t>
  </si>
  <si>
    <t xml:space="preserve">A1</t>
  </si>
  <si>
    <t xml:space="preserve">A3</t>
  </si>
  <si>
    <t xml:space="preserve">A4</t>
  </si>
  <si>
    <t xml:space="preserve">A5</t>
  </si>
  <si>
    <t xml:space="preserve">A6</t>
  </si>
  <si>
    <t xml:space="preserve">A7</t>
  </si>
  <si>
    <t xml:space="preserve">A9</t>
  </si>
  <si>
    <t xml:space="preserve">A10</t>
  </si>
  <si>
    <t xml:space="preserve">A11</t>
  </si>
  <si>
    <t xml:space="preserve">A12</t>
  </si>
  <si>
    <t xml:space="preserve">A13</t>
  </si>
  <si>
    <t xml:space="preserve">A14</t>
  </si>
  <si>
    <t xml:space="preserve">A15</t>
  </si>
  <si>
    <t xml:space="preserve">B2</t>
  </si>
  <si>
    <t xml:space="preserve">B3</t>
  </si>
  <si>
    <t xml:space="preserve">B4</t>
  </si>
  <si>
    <t xml:space="preserve">B5</t>
  </si>
  <si>
    <t xml:space="preserve">B6</t>
  </si>
  <si>
    <t xml:space="preserve">B7</t>
  </si>
  <si>
    <t xml:space="preserve">C2</t>
  </si>
  <si>
    <t xml:space="preserve">C3</t>
  </si>
  <si>
    <t xml:space="preserve">C4</t>
  </si>
  <si>
    <t xml:space="preserve">C5</t>
  </si>
  <si>
    <t xml:space="preserve">C6</t>
  </si>
  <si>
    <t xml:space="preserve">D1</t>
  </si>
  <si>
    <t xml:space="preserve">D2</t>
  </si>
  <si>
    <t xml:space="preserve">E1</t>
  </si>
  <si>
    <t xml:space="preserve">E2</t>
  </si>
  <si>
    <t xml:space="preserve">F1</t>
  </si>
  <si>
    <t xml:space="preserve">F2</t>
  </si>
  <si>
    <t xml:space="preserve">F3</t>
  </si>
  <si>
    <t xml:space="preserve">F4</t>
  </si>
  <si>
    <t xml:space="preserve">F5</t>
  </si>
  <si>
    <t xml:space="preserve">F6</t>
  </si>
  <si>
    <t xml:space="preserve">F7</t>
  </si>
  <si>
    <t xml:space="preserve">F8</t>
  </si>
  <si>
    <t xml:space="preserve">F9</t>
  </si>
  <si>
    <t xml:space="preserve">G1</t>
  </si>
  <si>
    <t xml:space="preserve">G2</t>
  </si>
  <si>
    <t xml:space="preserve">H1</t>
  </si>
  <si>
    <t xml:space="preserve">I1</t>
  </si>
  <si>
    <t xml:space="preserve">I2</t>
  </si>
  <si>
    <t xml:space="preserve">K1</t>
  </si>
  <si>
    <t xml:space="preserve">K2</t>
  </si>
  <si>
    <t xml:space="preserve">K3</t>
  </si>
  <si>
    <t xml:space="preserve">K4</t>
  </si>
  <si>
    <t xml:space="preserve">K5</t>
  </si>
  <si>
    <t xml:space="preserve">K6</t>
  </si>
  <si>
    <t xml:space="preserve">K7</t>
  </si>
  <si>
    <t xml:space="preserve">K8</t>
  </si>
  <si>
    <t xml:space="preserve">K9</t>
  </si>
  <si>
    <t xml:space="preserve">K14</t>
  </si>
  <si>
    <t xml:space="preserve">K15</t>
  </si>
  <si>
    <t xml:space="preserve">K16</t>
  </si>
  <si>
    <t xml:space="preserve">K17</t>
  </si>
  <si>
    <t xml:space="preserve">K18</t>
  </si>
  <si>
    <t xml:space="preserve">K19</t>
  </si>
  <si>
    <t xml:space="preserve">K20</t>
  </si>
  <si>
    <t xml:space="preserve">L1</t>
  </si>
  <si>
    <t xml:space="preserve">L2</t>
  </si>
  <si>
    <t xml:space="preserve">L3</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</si>
  <si>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</si>
  <si>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</si>
  <si>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</si>
  <si>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</si>
  <si>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</si>
  <si>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</si>
  <si>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</si>
  <si>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</si>
  <si>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</si>
  <si>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</si>
  <si>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M12</t>
  </si>
  <si>
    <t xml:space="preserve">M13</t>
  </si>
  <si>
    <t xml:space="preserve">M14</t>
  </si>
  <si>
    <t xml:space="preserve">M15</t>
  </si>
  <si>
    <t xml:space="preserve">M17</t>
  </si>
  <si>
    <t xml:space="preserve">M18</t>
  </si>
  <si>
    <t xml:space="preserve">M19</t>
  </si>
  <si>
    <t xml:space="preserve">M20</t>
  </si>
  <si>
    <t xml:space="preserve">M21</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</si>
  <si>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</si>
  <si>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</si>
  <si>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</si>
  <si>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</si>
  <si>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</si>
  <si>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</si>
  <si>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</si>
  <si>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</si>
  <si>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</si>
  <si>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</si>
  <si>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</si>
  <si>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</si>
  <si>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</si>
  <si>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M37</t>
  </si>
  <si>
    <t xml:space="preserve">M38</t>
  </si>
  <si>
    <t xml:space="preserve">M39</t>
  </si>
  <si>
    <t xml:space="preserve">M40</t>
  </si>
  <si>
    <t xml:space="preserve">M41</t>
  </si>
  <si>
    <t xml:space="preserve">M42</t>
  </si>
  <si>
    <t xml:space="preserve">M43</t>
  </si>
  <si>
    <t xml:space="preserve">M44</t>
  </si>
  <si>
    <t xml:space="preserve">M45</t>
  </si>
  <si>
    <t xml:space="preserve">M46</t>
  </si>
  <si>
    <t xml:space="preserve">M47</t>
  </si>
  <si>
    <t xml:space="preserve">M48</t>
  </si>
  <si>
    <t xml:space="preserve">M49</t>
  </si>
  <si>
    <t xml:space="preserve">M50</t>
  </si>
  <si>
    <t xml:space="preserve">M51</t>
  </si>
  <si>
    <t xml:space="preserve">M52</t>
  </si>
  <si>
    <t xml:space="preserve">M53</t>
  </si>
  <si>
    <t xml:space="preserve">M54</t>
  </si>
  <si>
    <t xml:space="preserve">M55</t>
  </si>
  <si>
    <t xml:space="preserve">M56</t>
  </si>
  <si>
    <t xml:space="preserve">M57</t>
  </si>
  <si>
    <t xml:space="preserve">M58</t>
  </si>
  <si>
    <t xml:space="preserve">M59</t>
  </si>
  <si>
    <t xml:space="preserve">M60</t>
  </si>
  <si>
    <t xml:space="preserve">M61</t>
  </si>
  <si>
    <t xml:space="preserve">M62</t>
  </si>
  <si>
    <t xml:space="preserve">M63</t>
  </si>
  <si>
    <t xml:space="preserve">M64</t>
  </si>
  <si>
    <t xml:space="preserve">M65</t>
  </si>
  <si>
    <t xml:space="preserve">N1</t>
  </si>
  <si>
    <t xml:space="preserve">N2</t>
  </si>
  <si>
    <t xml:space="preserve">N3</t>
  </si>
  <si>
    <t xml:space="preserve">N4</t>
  </si>
  <si>
    <t xml:space="preserve">Total risk denominator (fixed, per circular): 302</t>
  </si>
  <si>
    <t xml:space="preserve">OCRMS Data — paste your WHOLE OCRMS pivot export here, starting at cell A3</t>
  </si>
  <si>
    <t xml:space="preserve">Select your pivot in your compliance system (the "Row Labels" header, every parameter column, the Grand Total row/column — everything) and paste it starting at cell A3, exactly as exported. Do not reshape it or skip rows. Rows 1-2 hold formulas — paste at A3, never A1.</t>
  </si>
  <si>
    <t xml:space="preserve">Row Labels</t>
  </si>
  <si>
    <t xml:space="preserve">High-Risk Hit? (auto)</t>
  </si>
  <si>
    <t xml:space="preserve">Hit? (auto)</t>
  </si>
  <si>
    <t xml:space="preserve">Weight Contributed (auto)</t>
  </si>
  <si>
    <t xml:space="preserve">OCRMS PART A / B SUMMARY</t>
  </si>
  <si>
    <t xml:space="preserve">Risk score obtained</t>
  </si>
  <si>
    <t xml:space="preserve">Total risk (denominator)</t>
  </si>
  <si>
    <t xml:space="preserve">Compliance % (A)</t>
  </si>
  <si>
    <t xml:space="preserve">Marks A (0-1)</t>
  </si>
  <si>
    <t xml:space="preserve">Total branches in Region</t>
  </si>
  <si>
    <t xml:space="preserve">Branches with HIGH-risk violation</t>
  </si>
  <si>
    <t xml:space="preserve">Compliance % (B)</t>
  </si>
  <si>
    <t xml:space="preserve">Marks B (0-1)</t>
  </si>
  <si>
    <t xml:space="preserve">OCTMS Data — paste your WHOLE OCTMS pivot export here, starting at cell A3</t>
  </si>
  <si>
    <t xml:space="preserve">Unmapped parameter default rating (used when a pasted code isn't in Annexure-III):</t>
  </si>
  <si>
    <t xml:space="preserve">Select your pivot (the "Parameter" header, every branch column, the Grand Total row/column — everything) and paste it starting at cell A3, exactly as exported. Do not reshape it. Rows 1-2 hold the title and this input — paste at A3, never A1.</t>
  </si>
  <si>
    <t xml:space="preserve">Parameter</t>
  </si>
  <si>
    <t xml:space="preserve">Weight (auto)</t>
  </si>
  <si>
    <t xml:space="preserve">Non-complied? (auto)</t>
  </si>
  <si>
    <t xml:space="preserve">OCTMS PART A / B SUMMARY</t>
  </si>
  <si>
    <t xml:space="preserve">Non-complied branches</t>
  </si>
</sst>
</file>

<file path=xl/styles.xml><?xml version="1.0" encoding="utf-8"?>
<styleSheet xmlns="http://schemas.openxmlformats.org/spreadsheetml/2006/main">
  <numFmts count="4">
    <numFmt numFmtId="164" formatCode="General"/>
    <numFmt numFmtId="165" formatCode="0.00"/>
    <numFmt numFmtId="166" formatCode="General"/>
    <numFmt numFmtId="167" formatCode="0.00%"/>
  </numFmts>
  <fonts count="18">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i val="true"/>
      <sz val="10"/>
      <color rgb="FF4B5563"/>
      <name val="Arial"/>
      <family val="0"/>
      <charset val="1"/>
    </font>
    <font>
      <b val="true"/>
      <sz val="10"/>
      <name val="Arial"/>
      <family val="0"/>
      <charset val="1"/>
    </font>
    <font>
      <sz val="10"/>
      <name val="Arial"/>
      <family val="0"/>
      <charset val="1"/>
    </font>
    <font>
      <i val="true"/>
      <sz val="9"/>
      <color rgb="FF6B7280"/>
      <name val="Arial"/>
      <family val="0"/>
      <charset val="1"/>
    </font>
    <font>
      <b val="true"/>
      <sz val="11"/>
      <color rgb="FFFFFFFF"/>
      <name val="Arial"/>
      <family val="0"/>
      <charset val="1"/>
    </font>
    <font>
      <sz val="10"/>
      <color rgb="FF0000FF"/>
      <name val="Arial"/>
      <family val="0"/>
      <charset val="1"/>
    </font>
    <font>
      <sz val="10"/>
      <color rgb="FF008000"/>
      <name val="Arial"/>
      <family val="0"/>
      <charset val="1"/>
    </font>
    <font>
      <sz val="10"/>
      <color rgb="FF000000"/>
      <name val="Arial"/>
      <family val="0"/>
      <charset val="1"/>
    </font>
    <font>
      <b val="true"/>
      <sz val="11"/>
      <color rgb="FF000000"/>
      <name val="Arial"/>
      <family val="0"/>
      <charset val="1"/>
    </font>
    <font>
      <b val="true"/>
      <sz val="16"/>
      <color rgb="FF1F2937"/>
      <name val="Arial"/>
      <family val="0"/>
      <charset val="1"/>
    </font>
    <font>
      <b val="true"/>
      <sz val="9"/>
      <color rgb="FFFFFFFF"/>
      <name val="Arial"/>
      <family val="0"/>
      <charset val="1"/>
    </font>
    <font>
      <i val="true"/>
      <sz val="9"/>
      <color rgb="FF9CA3AF"/>
      <name val="Arial"/>
      <family val="0"/>
      <charset val="1"/>
    </font>
    <font>
      <sz val="10"/>
      <name val="Arial"/>
      <family val="2"/>
    </font>
  </fonts>
  <fills count="7">
    <fill>
      <patternFill patternType="none"/>
    </fill>
    <fill>
      <patternFill patternType="gray125"/>
    </fill>
    <fill>
      <patternFill patternType="solid">
        <fgColor rgb="FF1F2937"/>
        <bgColor rgb="FF374151"/>
      </patternFill>
    </fill>
    <fill>
      <patternFill patternType="solid">
        <fgColor rgb="FFFFFDE7"/>
        <bgColor rgb="FFFFFFFF"/>
      </patternFill>
    </fill>
    <fill>
      <patternFill patternType="solid">
        <fgColor rgb="FFE0E7FF"/>
        <bgColor rgb="FFD1D5DB"/>
      </patternFill>
    </fill>
    <fill>
      <patternFill patternType="solid">
        <fgColor rgb="FF374151"/>
        <bgColor rgb="FF4B5563"/>
      </patternFill>
    </fill>
    <fill>
      <patternFill patternType="solid">
        <fgColor rgb="FFFFF9C4"/>
        <bgColor rgb="FFFFFDE7"/>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0E7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DE7"/>
      <rgbColor rgb="FF99CCFF"/>
      <rgbColor rgb="FFFF99CC"/>
      <rgbColor rgb="FFCC99FF"/>
      <rgbColor rgb="FFFFCC99"/>
      <rgbColor rgb="FF3366FF"/>
      <rgbColor rgb="FF33CCCC"/>
      <rgbColor rgb="FF99CC00"/>
      <rgbColor rgb="FFFFCC00"/>
      <rgbColor rgb="FFFF9900"/>
      <rgbColor rgb="FFFF6600"/>
      <rgbColor rgb="FF6B7280"/>
      <rgbColor rgb="FF9CA3AF"/>
      <rgbColor rgb="FF003366"/>
      <rgbColor rgb="FF339966"/>
      <rgbColor rgb="FF003300"/>
      <rgbColor rgb="FF4B5563"/>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2" customFormat="false" ht="15" hidden="false" customHeight="false" outlineLevel="0" collapsed="false">
      <c r="A2" s="2" t="s">
        <v>1</v>
      </c>
    </row>
    <row r="5" customFormat="false" ht="15.75" hidden="false" customHeight="true" outlineLevel="0" collapsed="false">
      <c r="A5" s="3" t="s">
        <v>2</v>
      </c>
    </row>
    <row r="6" customFormat="false" ht="30" hidden="false" customHeight="true" outlineLevel="0" collapsed="false">
      <c r="A6" s="4"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15.75" hidden="false" customHeight="true" outlineLevel="0" collapsed="false">
      <c r="A10" s="4" t="s">
        <v>7</v>
      </c>
    </row>
    <row r="12" customFormat="false" ht="15.75" hidden="false" customHeight="true" outlineLevel="0" collapsed="false">
      <c r="A12" s="3" t="s">
        <v>8</v>
      </c>
    </row>
    <row r="13" customFormat="false" ht="15.75" hidden="false" customHeight="true" outlineLevel="0" collapsed="false">
      <c r="A13" s="5" t="s">
        <v>9</v>
      </c>
    </row>
    <row r="14" customFormat="false" ht="15.75" hidden="false" customHeight="true" outlineLevel="0" collapsed="false">
      <c r="A14" s="5" t="s">
        <v>10</v>
      </c>
    </row>
    <row r="15" customFormat="false" ht="15.75" hidden="false" customHeight="true" outlineLevel="0" collapsed="false">
      <c r="A15" s="5" t="s">
        <v>11</v>
      </c>
    </row>
    <row r="17" customFormat="false" ht="15.75" hidden="false" customHeight="true" outlineLevel="0" collapsed="false">
      <c r="A17" s="3" t="s">
        <v>12</v>
      </c>
    </row>
    <row r="18" customFormat="false" ht="30" hidden="false" customHeight="true" outlineLevel="0" collapsed="false">
      <c r="A18" s="5" t="s">
        <v>13</v>
      </c>
    </row>
    <row r="19" customFormat="false" ht="30" hidden="false" customHeight="true" outlineLevel="0" collapsed="false">
      <c r="A19" s="5" t="s">
        <v>14</v>
      </c>
    </row>
    <row r="20" customFormat="false" ht="30" hidden="false" customHeight="true" outlineLevel="0" collapsed="false">
      <c r="A20" s="5" t="s">
        <v>15</v>
      </c>
    </row>
    <row r="21" customFormat="false" ht="30" hidden="false" customHeight="true" outlineLevel="0" collapsed="false">
      <c r="A21" s="5" t="s">
        <v>16</v>
      </c>
    </row>
    <row r="22" customFormat="false" ht="30" hidden="false" customHeight="true" outlineLevel="0" collapsed="false">
      <c r="A22" s="5" t="s">
        <v>17</v>
      </c>
    </row>
    <row r="24" customFormat="false" ht="15.75" hidden="false" customHeight="true" outlineLevel="0" collapsed="false">
      <c r="A24" s="3" t="s">
        <v>18</v>
      </c>
    </row>
    <row r="25" customFormat="false" ht="30" hidden="false" customHeight="true" outlineLevel="0" collapsed="false">
      <c r="A25" s="5" t="s">
        <v>19</v>
      </c>
    </row>
    <row r="26" customFormat="false" ht="30" hidden="false" customHeight="true" outlineLevel="0" collapsed="false">
      <c r="A26" s="5" t="s">
        <v>20</v>
      </c>
    </row>
    <row r="27" customFormat="false" ht="30" hidden="false" customHeight="true" outlineLevel="0" collapsed="false">
      <c r="A27" s="5" t="s">
        <v>21</v>
      </c>
    </row>
    <row r="28" customFormat="false" ht="30" hidden="false" customHeight="true" outlineLevel="0" collapsed="false">
      <c r="A28" s="5"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s>
  <sheetData>
    <row r="1" customFormat="false" ht="17.35" hidden="false" customHeight="false" outlineLevel="0" collapsed="false">
      <c r="A1" s="1" t="s">
        <v>0</v>
      </c>
    </row>
    <row r="2" customFormat="false" ht="15" hidden="false" customHeight="false" outlineLevel="0" collapsed="false">
      <c r="A2" s="2" t="s">
        <v>23</v>
      </c>
    </row>
    <row r="4" customFormat="false" ht="15" hidden="false" customHeight="false" outlineLevel="0" collapsed="false">
      <c r="A4" s="6" t="s">
        <v>24</v>
      </c>
      <c r="B4" s="7"/>
    </row>
    <row r="6" customFormat="false" ht="15" hidden="false" customHeight="false" outlineLevel="0" collapsed="false">
      <c r="A6" s="8" t="s">
        <v>25</v>
      </c>
      <c r="B6" s="9" t="n">
        <v>55</v>
      </c>
    </row>
    <row r="7" customFormat="false" ht="15" hidden="false" customHeight="false" outlineLevel="0" collapsed="false">
      <c r="A7" s="10" t="s">
        <v>26</v>
      </c>
    </row>
    <row r="9" customFormat="false" ht="15" hidden="false" customHeight="false" outlineLevel="0" collapsed="false">
      <c r="A9" s="6" t="s">
        <v>27</v>
      </c>
      <c r="B9" s="7"/>
    </row>
    <row r="10" customFormat="false" ht="15" hidden="false" customHeight="false" outlineLevel="0" collapsed="false">
      <c r="A10" s="8" t="s">
        <v>28</v>
      </c>
      <c r="B10" s="11" t="n">
        <f aca="false">'OCRMS Data'!$B$313</f>
        <v>1</v>
      </c>
    </row>
    <row r="11" customFormat="false" ht="15" hidden="false" customHeight="false" outlineLevel="0" collapsed="false">
      <c r="A11" s="8" t="s">
        <v>29</v>
      </c>
      <c r="B11" s="11" t="n">
        <f aca="false">'OCRMS Data'!$B$318</f>
        <v>1</v>
      </c>
    </row>
    <row r="12" customFormat="false" ht="15" hidden="false" customHeight="false" outlineLevel="0" collapsed="false">
      <c r="A12" s="8" t="s">
        <v>30</v>
      </c>
      <c r="B12" s="9" t="n">
        <v>0</v>
      </c>
    </row>
    <row r="13" customFormat="false" ht="15" hidden="false" customHeight="false" outlineLevel="0" collapsed="false">
      <c r="A13" s="8" t="s">
        <v>31</v>
      </c>
      <c r="B13" s="9" t="n">
        <v>0</v>
      </c>
    </row>
    <row r="14" customFormat="false" ht="15" hidden="false" customHeight="false" outlineLevel="0" collapsed="false">
      <c r="A14" s="8" t="s">
        <v>32</v>
      </c>
      <c r="B14" s="12" t="n">
        <f aca="false">IF(B12&gt;0,MIN(1,MAX(0,ROUND(B13/B12,2))),0)</f>
        <v>0</v>
      </c>
    </row>
    <row r="15" customFormat="false" ht="15" hidden="false" customHeight="false" outlineLevel="0" collapsed="false">
      <c r="A15" s="13" t="s">
        <v>33</v>
      </c>
      <c r="B15" s="14" t="n">
        <f aca="false">B10+B11+B14</f>
        <v>2</v>
      </c>
    </row>
    <row r="17" customFormat="false" ht="15" hidden="false" customHeight="false" outlineLevel="0" collapsed="false">
      <c r="A17" s="6" t="s">
        <v>34</v>
      </c>
      <c r="B17" s="7"/>
    </row>
    <row r="18" customFormat="false" ht="15" hidden="false" customHeight="false" outlineLevel="0" collapsed="false">
      <c r="A18" s="8" t="s">
        <v>28</v>
      </c>
      <c r="B18" s="11" t="n">
        <f aca="false">'OCTMS Data'!$B$162</f>
        <v>1</v>
      </c>
    </row>
    <row r="19" customFormat="false" ht="15" hidden="false" customHeight="false" outlineLevel="0" collapsed="false">
      <c r="A19" s="8" t="s">
        <v>29</v>
      </c>
      <c r="B19" s="11" t="n">
        <f aca="false">'OCTMS Data'!$B$167</f>
        <v>1</v>
      </c>
    </row>
    <row r="20" customFormat="false" ht="15" hidden="false" customHeight="false" outlineLevel="0" collapsed="false">
      <c r="A20" s="8" t="s">
        <v>30</v>
      </c>
      <c r="B20" s="9" t="n">
        <v>0</v>
      </c>
    </row>
    <row r="21" customFormat="false" ht="15" hidden="false" customHeight="false" outlineLevel="0" collapsed="false">
      <c r="A21" s="8" t="s">
        <v>35</v>
      </c>
      <c r="B21" s="9" t="n">
        <v>0</v>
      </c>
    </row>
    <row r="22" customFormat="false" ht="15" hidden="false" customHeight="false" outlineLevel="0" collapsed="false">
      <c r="A22" s="8" t="s">
        <v>32</v>
      </c>
      <c r="B22" s="12" t="n">
        <f aca="false">IF(B20&gt;0,MIN(1,MAX(0,ROUND(B21/B20,2))),0)</f>
        <v>0</v>
      </c>
    </row>
    <row r="23" customFormat="false" ht="15" hidden="false" customHeight="false" outlineLevel="0" collapsed="false">
      <c r="A23" s="13" t="s">
        <v>36</v>
      </c>
      <c r="B23" s="14" t="n">
        <f aca="false">B18+B19+B22</f>
        <v>2</v>
      </c>
    </row>
    <row r="25" customFormat="false" ht="15" hidden="false" customHeight="false" outlineLevel="0" collapsed="false">
      <c r="A25" s="6" t="s">
        <v>37</v>
      </c>
      <c r="B25" s="7"/>
    </row>
    <row r="26" customFormat="false" ht="15" hidden="false" customHeight="false" outlineLevel="0" collapsed="false">
      <c r="A26" s="8" t="s">
        <v>38</v>
      </c>
      <c r="B26" s="9" t="s">
        <v>39</v>
      </c>
    </row>
    <row r="27" customFormat="false" ht="27.75" hidden="false" customHeight="true" outlineLevel="0" collapsed="false">
      <c r="A27" s="15" t="str">
        <f aca="false">IF(B26="Regional Head / DRM","OCRMS bucket = OCRMS+Cermo+AEOA (max 5). OCTMS bucket = OCTMS+Penalty+Forum (max 5).","OCRMS bucket = OCRMS+Cermo (max 4). OCTMS bucket = OCTMS+Penalty+Forum (max 6).")</f>
        <v>OCRMS bucket = OCRMS+Cermo+AEOA (max 5). OCTMS bucket = OCTMS+Penalty+Forum (max 5).</v>
      </c>
      <c r="B27" s="15"/>
      <c r="C27" s="15"/>
      <c r="D27" s="15"/>
    </row>
    <row r="29" customFormat="false" ht="15" hidden="false" customHeight="false" outlineLevel="0" collapsed="false">
      <c r="A29" s="8" t="s">
        <v>40</v>
      </c>
      <c r="B29" s="9" t="n">
        <v>99.23</v>
      </c>
    </row>
    <row r="30" customFormat="false" ht="15" hidden="false" customHeight="false" outlineLevel="0" collapsed="false">
      <c r="A30" s="8" t="s">
        <v>41</v>
      </c>
      <c r="B30" s="9" t="n">
        <v>1</v>
      </c>
      <c r="C30" s="9" t="n">
        <v>0.5</v>
      </c>
      <c r="D30" s="9" t="n">
        <v>1</v>
      </c>
    </row>
    <row r="31" customFormat="false" ht="15" hidden="false" customHeight="false" outlineLevel="0" collapsed="false">
      <c r="A31" s="8" t="s">
        <v>42</v>
      </c>
      <c r="B31" s="9" t="s">
        <v>43</v>
      </c>
    </row>
    <row r="32" customFormat="false" ht="15" hidden="false" customHeight="false" outlineLevel="0" collapsed="false">
      <c r="A32" s="8" t="s">
        <v>44</v>
      </c>
      <c r="B32" s="9" t="s">
        <v>43</v>
      </c>
    </row>
    <row r="34" customFormat="false" ht="15" hidden="false" customHeight="false" outlineLevel="0" collapsed="false">
      <c r="A34" s="10" t="s">
        <v>45</v>
      </c>
      <c r="B34" s="16" t="n">
        <f aca="false">IF(B26="Regional Head / DRM",1,2)</f>
        <v>1</v>
      </c>
    </row>
    <row r="35" customFormat="false" ht="15" hidden="false" customHeight="false" outlineLevel="0" collapsed="false">
      <c r="A35" s="10" t="s">
        <v>46</v>
      </c>
      <c r="B35" s="16" t="str">
        <f aca="false">IF(B26="Regional Head / DRM","Yes","No")</f>
        <v>Yes</v>
      </c>
    </row>
    <row r="36" customFormat="false" ht="15" hidden="false" customHeight="false" outlineLevel="0" collapsed="false">
      <c r="A36" s="10" t="s">
        <v>47</v>
      </c>
      <c r="B36" s="12" t="n">
        <f aca="false">IF(B29&gt;0,MIN(1,ROUND(B29/100,2)),0)</f>
        <v>0.99</v>
      </c>
    </row>
    <row r="37" customFormat="false" ht="15" hidden="false" customHeight="false" outlineLevel="0" collapsed="false">
      <c r="A37" s="10" t="s">
        <v>48</v>
      </c>
      <c r="B37" s="12" t="n">
        <f aca="false">IFERROR(ROUND(AVERAGE(B30:D30),2),0)</f>
        <v>0.83</v>
      </c>
    </row>
    <row r="38" customFormat="false" ht="15" hidden="false" customHeight="false" outlineLevel="0" collapsed="false">
      <c r="A38" s="10" t="s">
        <v>49</v>
      </c>
      <c r="B38" s="12" t="n">
        <f aca="false">IF(B31="Yes",1,0)*B34</f>
        <v>1</v>
      </c>
    </row>
    <row r="39" customFormat="false" ht="15" hidden="false" customHeight="false" outlineLevel="0" collapsed="false">
      <c r="A39" s="10" t="s">
        <v>50</v>
      </c>
      <c r="B39" s="12" t="n">
        <f aca="false">IF(B35="Yes",IF(B32="Yes",1,0),0)</f>
        <v>1</v>
      </c>
    </row>
    <row r="41" customFormat="false" ht="15" hidden="false" customHeight="false" outlineLevel="0" collapsed="false">
      <c r="A41" s="6" t="s">
        <v>51</v>
      </c>
      <c r="B41" s="7"/>
      <c r="C41" s="7"/>
      <c r="D41" s="7"/>
    </row>
    <row r="42" customFormat="false" ht="15" hidden="false" customHeight="false" outlineLevel="0" collapsed="false">
      <c r="A42" s="8" t="s">
        <v>52</v>
      </c>
      <c r="B42" s="14" t="n">
        <f aca="false">B15+B36+B39</f>
        <v>3.99</v>
      </c>
      <c r="C42" s="10" t="str">
        <f aca="false">" / "&amp;IF(B35="Yes",5,4)</f>
        <v> / 5</v>
      </c>
    </row>
    <row r="43" customFormat="false" ht="15" hidden="false" customHeight="false" outlineLevel="0" collapsed="false">
      <c r="A43" s="8" t="s">
        <v>53</v>
      </c>
      <c r="B43" s="14" t="n">
        <f aca="false">B23+B37+B38</f>
        <v>3.83</v>
      </c>
      <c r="C43" s="10" t="str">
        <f aca="false">" / "&amp;IF(B35="Yes",5,6)</f>
        <v> / 5</v>
      </c>
    </row>
    <row r="45" customFormat="false" ht="19.7" hidden="false" customHeight="false" outlineLevel="0" collapsed="false">
      <c r="A45" s="1" t="s">
        <v>54</v>
      </c>
      <c r="B45" s="17" t="n">
        <f aca="false">ROUND(B42+B43,2)</f>
        <v>7.82</v>
      </c>
      <c r="C45" s="10" t="s">
        <v>55</v>
      </c>
    </row>
  </sheetData>
  <mergeCells count="1">
    <mergeCell ref="A27:D27"/>
  </mergeCells>
  <dataValidations count="3">
    <dataValidation allowBlank="false" errorStyle="stop" operator="between" showDropDown="false" showErrorMessage="false" showInputMessage="false" sqref="B26" type="list">
      <formula1>"Regional Head / DRM,Zonal Head / DGM (CA) / DGM (BD)"</formula1>
      <formula2>0</formula2>
    </dataValidation>
    <dataValidation allowBlank="false" errorStyle="stop" operator="between" showDropDown="false" showErrorMessage="false" showInputMessage="false" sqref="B31" type="list">
      <formula1>"Yes,No"</formula1>
      <formula2>0</formula2>
    </dataValidation>
    <dataValidation allowBlank="false" errorStyle="stop" operator="between" showDropDown="false" showErrorMessage="false" showInputMessage="false" sqref="B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s>
  <sheetData>
    <row r="1" customFormat="false" ht="15" hidden="false" customHeight="false" outlineLevel="0" collapsed="false">
      <c r="A1" s="8" t="s">
        <v>56</v>
      </c>
    </row>
    <row r="3" customFormat="false" ht="15" hidden="false" customHeight="false" outlineLevel="0" collapsed="false">
      <c r="A3" s="18" t="s">
        <v>57</v>
      </c>
      <c r="B3" s="18" t="s">
        <v>58</v>
      </c>
      <c r="C3" s="18" t="s">
        <v>59</v>
      </c>
    </row>
    <row r="4" customFormat="false" ht="15" hidden="false" customHeight="false" outlineLevel="0" collapsed="false">
      <c r="A4" s="19" t="s">
        <v>60</v>
      </c>
      <c r="B4" s="20" t="s">
        <v>61</v>
      </c>
      <c r="C4" s="20" t="n">
        <v>1</v>
      </c>
    </row>
    <row r="5" customFormat="false" ht="15" hidden="false" customHeight="false" outlineLevel="0" collapsed="false">
      <c r="A5" s="19" t="s">
        <v>62</v>
      </c>
      <c r="B5" s="20" t="s">
        <v>61</v>
      </c>
      <c r="C5" s="20" t="n">
        <v>1</v>
      </c>
    </row>
    <row r="6" customFormat="false" ht="15" hidden="false" customHeight="false" outlineLevel="0" collapsed="false">
      <c r="A6" s="19" t="s">
        <v>63</v>
      </c>
      <c r="B6" s="20" t="s">
        <v>64</v>
      </c>
      <c r="C6" s="20" t="n">
        <v>3</v>
      </c>
    </row>
    <row r="7" customFormat="false" ht="15" hidden="false" customHeight="false" outlineLevel="0" collapsed="false">
      <c r="A7" s="19" t="s">
        <v>65</v>
      </c>
      <c r="B7" s="20" t="s">
        <v>66</v>
      </c>
      <c r="C7" s="20" t="n">
        <v>2</v>
      </c>
    </row>
    <row r="8" customFormat="false" ht="15" hidden="false" customHeight="false" outlineLevel="0" collapsed="false">
      <c r="A8" s="19" t="s">
        <v>67</v>
      </c>
      <c r="B8" s="20" t="s">
        <v>66</v>
      </c>
      <c r="C8" s="20" t="n">
        <v>2</v>
      </c>
    </row>
    <row r="9" customFormat="false" ht="15" hidden="false" customHeight="false" outlineLevel="0" collapsed="false">
      <c r="A9" s="19" t="s">
        <v>68</v>
      </c>
      <c r="B9" s="20" t="s">
        <v>66</v>
      </c>
      <c r="C9" s="20" t="n">
        <v>2</v>
      </c>
    </row>
    <row r="10" customFormat="false" ht="15" hidden="false" customHeight="false" outlineLevel="0" collapsed="false">
      <c r="A10" s="19" t="s">
        <v>69</v>
      </c>
      <c r="B10" s="20" t="s">
        <v>66</v>
      </c>
      <c r="C10" s="20" t="n">
        <v>2</v>
      </c>
    </row>
    <row r="11" customFormat="false" ht="15" hidden="false" customHeight="false" outlineLevel="0" collapsed="false">
      <c r="A11" s="19" t="s">
        <v>70</v>
      </c>
      <c r="B11" s="20" t="s">
        <v>66</v>
      </c>
      <c r="C11" s="20" t="n">
        <v>2</v>
      </c>
    </row>
    <row r="12" customFormat="false" ht="15" hidden="false" customHeight="false" outlineLevel="0" collapsed="false">
      <c r="A12" s="19" t="s">
        <v>71</v>
      </c>
      <c r="B12" s="20" t="s">
        <v>64</v>
      </c>
      <c r="C12" s="20" t="n">
        <v>3</v>
      </c>
    </row>
    <row r="13" customFormat="false" ht="15" hidden="false" customHeight="false" outlineLevel="0" collapsed="false">
      <c r="A13" s="19" t="s">
        <v>72</v>
      </c>
      <c r="B13" s="20" t="s">
        <v>64</v>
      </c>
      <c r="C13" s="20" t="n">
        <v>3</v>
      </c>
    </row>
    <row r="14" customFormat="false" ht="15" hidden="false" customHeight="false" outlineLevel="0" collapsed="false">
      <c r="A14" s="19" t="s">
        <v>73</v>
      </c>
      <c r="B14" s="20" t="s">
        <v>64</v>
      </c>
      <c r="C14" s="20" t="n">
        <v>3</v>
      </c>
    </row>
    <row r="15" customFormat="false" ht="15" hidden="false" customHeight="false" outlineLevel="0" collapsed="false">
      <c r="A15" s="19" t="s">
        <v>74</v>
      </c>
      <c r="B15" s="20" t="s">
        <v>64</v>
      </c>
      <c r="C15" s="20" t="n">
        <v>3</v>
      </c>
    </row>
    <row r="16" customFormat="false" ht="15" hidden="false" customHeight="false" outlineLevel="0" collapsed="false">
      <c r="A16" s="19" t="s">
        <v>75</v>
      </c>
      <c r="B16" s="20" t="s">
        <v>66</v>
      </c>
      <c r="C16" s="20" t="n">
        <v>2</v>
      </c>
    </row>
    <row r="17" customFormat="false" ht="15" hidden="false" customHeight="false" outlineLevel="0" collapsed="false">
      <c r="A17" s="19" t="s">
        <v>76</v>
      </c>
      <c r="B17" s="20" t="s">
        <v>64</v>
      </c>
      <c r="C17" s="20" t="n">
        <v>3</v>
      </c>
    </row>
    <row r="18" customFormat="false" ht="15" hidden="false" customHeight="false" outlineLevel="0" collapsed="false">
      <c r="A18" s="19" t="s">
        <v>77</v>
      </c>
      <c r="B18" s="20" t="s">
        <v>61</v>
      </c>
      <c r="C18" s="20" t="n">
        <v>1</v>
      </c>
    </row>
    <row r="19" customFormat="false" ht="15" hidden="false" customHeight="false" outlineLevel="0" collapsed="false">
      <c r="A19" s="19" t="s">
        <v>78</v>
      </c>
      <c r="B19" s="20" t="s">
        <v>66</v>
      </c>
      <c r="C19" s="20" t="n">
        <v>2</v>
      </c>
    </row>
    <row r="20" customFormat="false" ht="15" hidden="false" customHeight="false" outlineLevel="0" collapsed="false">
      <c r="A20" s="19" t="s">
        <v>79</v>
      </c>
      <c r="B20" s="20" t="s">
        <v>66</v>
      </c>
      <c r="C20" s="20" t="n">
        <v>2</v>
      </c>
    </row>
    <row r="21" customFormat="false" ht="15" hidden="false" customHeight="false" outlineLevel="0" collapsed="false">
      <c r="A21" s="19" t="s">
        <v>80</v>
      </c>
      <c r="B21" s="20" t="s">
        <v>66</v>
      </c>
      <c r="C21" s="20" t="n">
        <v>2</v>
      </c>
    </row>
    <row r="22" customFormat="false" ht="15" hidden="false" customHeight="false" outlineLevel="0" collapsed="false">
      <c r="A22" s="19" t="s">
        <v>81</v>
      </c>
      <c r="B22" s="20" t="s">
        <v>66</v>
      </c>
      <c r="C22" s="20" t="n">
        <v>2</v>
      </c>
    </row>
    <row r="23" customFormat="false" ht="15" hidden="false" customHeight="false" outlineLevel="0" collapsed="false">
      <c r="A23" s="19" t="s">
        <v>82</v>
      </c>
      <c r="B23" s="20" t="s">
        <v>66</v>
      </c>
      <c r="C23" s="20" t="n">
        <v>2</v>
      </c>
    </row>
    <row r="24" customFormat="false" ht="15" hidden="false" customHeight="false" outlineLevel="0" collapsed="false">
      <c r="A24" s="19" t="s">
        <v>83</v>
      </c>
      <c r="B24" s="20" t="s">
        <v>66</v>
      </c>
      <c r="C24" s="20" t="n">
        <v>2</v>
      </c>
    </row>
    <row r="25" customFormat="false" ht="15" hidden="false" customHeight="false" outlineLevel="0" collapsed="false">
      <c r="A25" s="19" t="s">
        <v>84</v>
      </c>
      <c r="B25" s="20" t="s">
        <v>61</v>
      </c>
      <c r="C25" s="20" t="n">
        <v>1</v>
      </c>
    </row>
    <row r="26" customFormat="false" ht="15" hidden="false" customHeight="false" outlineLevel="0" collapsed="false">
      <c r="A26" s="19" t="s">
        <v>85</v>
      </c>
      <c r="B26" s="20" t="s">
        <v>64</v>
      </c>
      <c r="C26" s="20" t="n">
        <v>3</v>
      </c>
    </row>
    <row r="27" customFormat="false" ht="15" hidden="false" customHeight="false" outlineLevel="0" collapsed="false">
      <c r="A27" s="19" t="s">
        <v>86</v>
      </c>
      <c r="B27" s="20" t="s">
        <v>64</v>
      </c>
      <c r="C27" s="20" t="n">
        <v>3</v>
      </c>
    </row>
    <row r="28" customFormat="false" ht="15" hidden="false" customHeight="false" outlineLevel="0" collapsed="false">
      <c r="A28" s="19" t="s">
        <v>87</v>
      </c>
      <c r="B28" s="20" t="s">
        <v>64</v>
      </c>
      <c r="C28" s="20" t="n">
        <v>3</v>
      </c>
    </row>
    <row r="29" customFormat="false" ht="15" hidden="false" customHeight="false" outlineLevel="0" collapsed="false">
      <c r="A29" s="19" t="s">
        <v>88</v>
      </c>
      <c r="B29" s="20" t="s">
        <v>66</v>
      </c>
      <c r="C29" s="20" t="n">
        <v>2</v>
      </c>
    </row>
    <row r="30" customFormat="false" ht="15" hidden="false" customHeight="false" outlineLevel="0" collapsed="false">
      <c r="A30" s="19" t="s">
        <v>89</v>
      </c>
      <c r="B30" s="20" t="s">
        <v>66</v>
      </c>
      <c r="C30" s="20" t="n">
        <v>2</v>
      </c>
    </row>
    <row r="31" customFormat="false" ht="15" hidden="false" customHeight="false" outlineLevel="0" collapsed="false">
      <c r="A31" s="19" t="s">
        <v>90</v>
      </c>
      <c r="B31" s="20" t="s">
        <v>66</v>
      </c>
      <c r="C31" s="20" t="n">
        <v>2</v>
      </c>
    </row>
    <row r="32" customFormat="false" ht="15" hidden="false" customHeight="false" outlineLevel="0" collapsed="false">
      <c r="A32" s="19" t="s">
        <v>91</v>
      </c>
      <c r="B32" s="20" t="s">
        <v>61</v>
      </c>
      <c r="C32" s="20" t="n">
        <v>1</v>
      </c>
    </row>
    <row r="33" customFormat="false" ht="15" hidden="false" customHeight="false" outlineLevel="0" collapsed="false">
      <c r="A33" s="19" t="s">
        <v>92</v>
      </c>
      <c r="B33" s="20" t="s">
        <v>66</v>
      </c>
      <c r="C33" s="20" t="n">
        <v>2</v>
      </c>
    </row>
    <row r="34" customFormat="false" ht="15" hidden="false" customHeight="false" outlineLevel="0" collapsed="false">
      <c r="A34" s="19" t="s">
        <v>93</v>
      </c>
      <c r="B34" s="20" t="s">
        <v>61</v>
      </c>
      <c r="C34" s="20" t="n">
        <v>1</v>
      </c>
    </row>
    <row r="35" customFormat="false" ht="15" hidden="false" customHeight="false" outlineLevel="0" collapsed="false">
      <c r="A35" s="19" t="s">
        <v>94</v>
      </c>
      <c r="B35" s="20" t="s">
        <v>61</v>
      </c>
      <c r="C35" s="20" t="n">
        <v>1</v>
      </c>
    </row>
    <row r="36" customFormat="false" ht="15" hidden="false" customHeight="false" outlineLevel="0" collapsed="false">
      <c r="A36" s="19" t="s">
        <v>95</v>
      </c>
      <c r="B36" s="20" t="s">
        <v>64</v>
      </c>
      <c r="C36" s="20" t="n">
        <v>3</v>
      </c>
    </row>
    <row r="37" customFormat="false" ht="15" hidden="false" customHeight="false" outlineLevel="0" collapsed="false">
      <c r="A37" s="19" t="s">
        <v>96</v>
      </c>
      <c r="B37" s="20" t="s">
        <v>64</v>
      </c>
      <c r="C37" s="20" t="n">
        <v>3</v>
      </c>
    </row>
    <row r="38" customFormat="false" ht="15" hidden="false" customHeight="false" outlineLevel="0" collapsed="false">
      <c r="A38" s="19" t="s">
        <v>97</v>
      </c>
      <c r="B38" s="20" t="s">
        <v>64</v>
      </c>
      <c r="C38" s="20" t="n">
        <v>3</v>
      </c>
    </row>
    <row r="39" customFormat="false" ht="15" hidden="false" customHeight="false" outlineLevel="0" collapsed="false">
      <c r="A39" s="19" t="s">
        <v>98</v>
      </c>
      <c r="B39" s="20" t="s">
        <v>64</v>
      </c>
      <c r="C39" s="20" t="n">
        <v>3</v>
      </c>
    </row>
    <row r="40" customFormat="false" ht="15" hidden="false" customHeight="false" outlineLevel="0" collapsed="false">
      <c r="A40" s="19" t="s">
        <v>99</v>
      </c>
      <c r="B40" s="20" t="s">
        <v>61</v>
      </c>
      <c r="C40" s="20" t="n">
        <v>1</v>
      </c>
    </row>
    <row r="41" customFormat="false" ht="15" hidden="false" customHeight="false" outlineLevel="0" collapsed="false">
      <c r="A41" s="19" t="s">
        <v>100</v>
      </c>
      <c r="B41" s="20" t="s">
        <v>66</v>
      </c>
      <c r="C41" s="20" t="n">
        <v>2</v>
      </c>
    </row>
    <row r="42" customFormat="false" ht="15" hidden="false" customHeight="false" outlineLevel="0" collapsed="false">
      <c r="A42" s="19" t="s">
        <v>101</v>
      </c>
      <c r="B42" s="20" t="s">
        <v>61</v>
      </c>
      <c r="C42" s="20" t="n">
        <v>1</v>
      </c>
    </row>
    <row r="43" customFormat="false" ht="15" hidden="false" customHeight="false" outlineLevel="0" collapsed="false">
      <c r="A43" s="19" t="s">
        <v>102</v>
      </c>
      <c r="B43" s="20" t="s">
        <v>64</v>
      </c>
      <c r="C43" s="20" t="n">
        <v>3</v>
      </c>
    </row>
    <row r="44" customFormat="false" ht="15" hidden="false" customHeight="false" outlineLevel="0" collapsed="false">
      <c r="A44" s="19" t="s">
        <v>103</v>
      </c>
      <c r="B44" s="20" t="s">
        <v>64</v>
      </c>
      <c r="C44" s="20" t="n">
        <v>3</v>
      </c>
    </row>
    <row r="45" customFormat="false" ht="15" hidden="false" customHeight="false" outlineLevel="0" collapsed="false">
      <c r="A45" s="19" t="s">
        <v>104</v>
      </c>
      <c r="B45" s="20" t="s">
        <v>64</v>
      </c>
      <c r="C45" s="20" t="n">
        <v>3</v>
      </c>
    </row>
    <row r="46" customFormat="false" ht="15" hidden="false" customHeight="false" outlineLevel="0" collapsed="false">
      <c r="A46" s="19" t="s">
        <v>105</v>
      </c>
      <c r="B46" s="20" t="s">
        <v>64</v>
      </c>
      <c r="C46" s="20" t="n">
        <v>3</v>
      </c>
    </row>
    <row r="47" customFormat="false" ht="15" hidden="false" customHeight="false" outlineLevel="0" collapsed="false">
      <c r="A47" s="19" t="s">
        <v>106</v>
      </c>
      <c r="B47" s="20" t="s">
        <v>66</v>
      </c>
      <c r="C47" s="20" t="n">
        <v>2</v>
      </c>
    </row>
    <row r="48" customFormat="false" ht="15" hidden="false" customHeight="false" outlineLevel="0" collapsed="false">
      <c r="A48" s="19" t="s">
        <v>107</v>
      </c>
      <c r="B48" s="20" t="s">
        <v>66</v>
      </c>
      <c r="C48" s="20" t="n">
        <v>2</v>
      </c>
    </row>
    <row r="49" customFormat="false" ht="15" hidden="false" customHeight="false" outlineLevel="0" collapsed="false">
      <c r="A49" s="19" t="s">
        <v>108</v>
      </c>
      <c r="B49" s="20" t="s">
        <v>64</v>
      </c>
      <c r="C49" s="20" t="n">
        <v>3</v>
      </c>
    </row>
    <row r="50" customFormat="false" ht="15" hidden="false" customHeight="false" outlineLevel="0" collapsed="false">
      <c r="A50" s="19" t="s">
        <v>109</v>
      </c>
      <c r="B50" s="20" t="s">
        <v>61</v>
      </c>
      <c r="C50" s="20" t="n">
        <v>1</v>
      </c>
    </row>
    <row r="51" customFormat="false" ht="15" hidden="false" customHeight="false" outlineLevel="0" collapsed="false">
      <c r="A51" s="19" t="s">
        <v>110</v>
      </c>
      <c r="B51" s="20" t="s">
        <v>64</v>
      </c>
      <c r="C51" s="20" t="n">
        <v>3</v>
      </c>
    </row>
    <row r="52" customFormat="false" ht="15" hidden="false" customHeight="false" outlineLevel="0" collapsed="false">
      <c r="A52" s="19" t="s">
        <v>111</v>
      </c>
      <c r="B52" s="20" t="s">
        <v>61</v>
      </c>
      <c r="C52" s="20" t="n">
        <v>1</v>
      </c>
    </row>
    <row r="53" customFormat="false" ht="15" hidden="false" customHeight="false" outlineLevel="0" collapsed="false">
      <c r="A53" s="19" t="s">
        <v>112</v>
      </c>
      <c r="B53" s="20" t="s">
        <v>66</v>
      </c>
      <c r="C53" s="20" t="n">
        <v>2</v>
      </c>
    </row>
    <row r="54" customFormat="false" ht="15" hidden="false" customHeight="false" outlineLevel="0" collapsed="false">
      <c r="A54" s="19" t="s">
        <v>113</v>
      </c>
      <c r="B54" s="20" t="s">
        <v>61</v>
      </c>
      <c r="C54" s="20" t="n">
        <v>1</v>
      </c>
    </row>
    <row r="55" customFormat="false" ht="15" hidden="false" customHeight="false" outlineLevel="0" collapsed="false">
      <c r="A55" s="19" t="s">
        <v>114</v>
      </c>
      <c r="B55" s="20" t="s">
        <v>64</v>
      </c>
      <c r="C55" s="20" t="n">
        <v>3</v>
      </c>
    </row>
    <row r="56" customFormat="false" ht="15" hidden="false" customHeight="false" outlineLevel="0" collapsed="false">
      <c r="A56" s="19" t="s">
        <v>115</v>
      </c>
      <c r="B56" s="20" t="s">
        <v>64</v>
      </c>
      <c r="C56" s="20" t="n">
        <v>3</v>
      </c>
    </row>
    <row r="57" customFormat="false" ht="15" hidden="false" customHeight="false" outlineLevel="0" collapsed="false">
      <c r="A57" s="19" t="s">
        <v>116</v>
      </c>
      <c r="B57" s="20" t="s">
        <v>66</v>
      </c>
      <c r="C57" s="20" t="n">
        <v>2</v>
      </c>
    </row>
    <row r="58" customFormat="false" ht="15" hidden="false" customHeight="false" outlineLevel="0" collapsed="false">
      <c r="A58" s="19" t="s">
        <v>117</v>
      </c>
      <c r="B58" s="20" t="s">
        <v>64</v>
      </c>
      <c r="C58" s="20" t="n">
        <v>3</v>
      </c>
    </row>
    <row r="59" customFormat="false" ht="15" hidden="false" customHeight="false" outlineLevel="0" collapsed="false">
      <c r="A59" s="19" t="s">
        <v>118</v>
      </c>
      <c r="B59" s="20" t="s">
        <v>64</v>
      </c>
      <c r="C59" s="20" t="n">
        <v>3</v>
      </c>
    </row>
    <row r="60" customFormat="false" ht="15" hidden="false" customHeight="false" outlineLevel="0" collapsed="false">
      <c r="A60" s="19" t="s">
        <v>119</v>
      </c>
      <c r="B60" s="20" t="s">
        <v>64</v>
      </c>
      <c r="C60" s="20" t="n">
        <v>3</v>
      </c>
    </row>
    <row r="61" customFormat="false" ht="15" hidden="false" customHeight="false" outlineLevel="0" collapsed="false">
      <c r="A61" s="19" t="s">
        <v>120</v>
      </c>
      <c r="B61" s="20" t="s">
        <v>61</v>
      </c>
      <c r="C61" s="20" t="n">
        <v>1</v>
      </c>
    </row>
    <row r="62" customFormat="false" ht="15" hidden="false" customHeight="false" outlineLevel="0" collapsed="false">
      <c r="A62" s="19" t="s">
        <v>121</v>
      </c>
      <c r="B62" s="20" t="s">
        <v>61</v>
      </c>
      <c r="C62" s="20" t="n">
        <v>1</v>
      </c>
    </row>
    <row r="63" customFormat="false" ht="15" hidden="false" customHeight="false" outlineLevel="0" collapsed="false">
      <c r="A63" s="19" t="s">
        <v>122</v>
      </c>
      <c r="B63" s="20" t="s">
        <v>61</v>
      </c>
      <c r="C63" s="20" t="n">
        <v>1</v>
      </c>
    </row>
    <row r="64" customFormat="false" ht="15" hidden="false" customHeight="false" outlineLevel="0" collapsed="false">
      <c r="A64" s="19" t="s">
        <v>123</v>
      </c>
      <c r="B64" s="20" t="s">
        <v>61</v>
      </c>
      <c r="C64" s="20" t="n">
        <v>1</v>
      </c>
    </row>
    <row r="65" customFormat="false" ht="15" hidden="false" customHeight="false" outlineLevel="0" collapsed="false">
      <c r="A65" s="19" t="s">
        <v>124</v>
      </c>
      <c r="B65" s="20" t="s">
        <v>66</v>
      </c>
      <c r="C65" s="20" t="n">
        <v>2</v>
      </c>
    </row>
    <row r="66" customFormat="false" ht="15" hidden="false" customHeight="false" outlineLevel="0" collapsed="false">
      <c r="A66" s="19" t="s">
        <v>125</v>
      </c>
      <c r="B66" s="20" t="s">
        <v>61</v>
      </c>
      <c r="C66" s="20" t="n">
        <v>1</v>
      </c>
    </row>
    <row r="67" customFormat="false" ht="15" hidden="false" customHeight="false" outlineLevel="0" collapsed="false">
      <c r="A67" s="19" t="s">
        <v>126</v>
      </c>
      <c r="B67" s="20" t="s">
        <v>61</v>
      </c>
      <c r="C67" s="20" t="n">
        <v>1</v>
      </c>
    </row>
    <row r="68" customFormat="false" ht="15" hidden="false" customHeight="false" outlineLevel="0" collapsed="false">
      <c r="A68" s="19" t="s">
        <v>127</v>
      </c>
      <c r="B68" s="20" t="s">
        <v>61</v>
      </c>
      <c r="C68" s="20" t="n">
        <v>1</v>
      </c>
    </row>
    <row r="69" customFormat="false" ht="15" hidden="false" customHeight="false" outlineLevel="0" collapsed="false">
      <c r="A69" s="19" t="s">
        <v>128</v>
      </c>
      <c r="B69" s="20" t="s">
        <v>64</v>
      </c>
      <c r="C69" s="20" t="n">
        <v>3</v>
      </c>
    </row>
    <row r="70" customFormat="false" ht="15" hidden="false" customHeight="false" outlineLevel="0" collapsed="false">
      <c r="A70" s="19" t="s">
        <v>129</v>
      </c>
      <c r="B70" s="20" t="s">
        <v>64</v>
      </c>
      <c r="C70" s="20" t="n">
        <v>3</v>
      </c>
    </row>
    <row r="72" customFormat="false" ht="15" hidden="false" customHeight="false" outlineLevel="0" collapsed="false">
      <c r="A72" s="10" t="s">
        <v>130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4"/>
    <col collapsed="false" customWidth="true" hidden="false" outlineLevel="0" max="3" min="3" style="0" width="10"/>
  </cols>
  <sheetData>
    <row r="1" customFormat="false" ht="15" hidden="false" customHeight="false" outlineLevel="0" collapsed="false">
      <c r="A1" s="8" t="s">
        <v>131</v>
      </c>
    </row>
    <row r="3" customFormat="false" ht="15" hidden="false" customHeight="false" outlineLevel="0" collapsed="false">
      <c r="A3" s="18" t="s">
        <v>57</v>
      </c>
      <c r="B3" s="18" t="s">
        <v>58</v>
      </c>
      <c r="C3" s="18" t="s">
        <v>59</v>
      </c>
    </row>
    <row r="4" customFormat="false" ht="15" hidden="false" customHeight="false" outlineLevel="0" collapsed="false">
      <c r="A4" s="19" t="s">
        <v>132</v>
      </c>
      <c r="B4" s="20" t="s">
        <v>64</v>
      </c>
      <c r="C4" s="20" t="n">
        <v>3</v>
      </c>
    </row>
    <row r="5" customFormat="false" ht="15" hidden="false" customHeight="false" outlineLevel="0" collapsed="false">
      <c r="A5" s="19" t="s">
        <v>133</v>
      </c>
      <c r="B5" s="20" t="s">
        <v>64</v>
      </c>
      <c r="C5" s="20" t="n">
        <v>3</v>
      </c>
    </row>
    <row r="6" customFormat="false" ht="15" hidden="false" customHeight="false" outlineLevel="0" collapsed="false">
      <c r="A6" s="19" t="s">
        <v>134</v>
      </c>
      <c r="B6" s="20" t="s">
        <v>64</v>
      </c>
      <c r="C6" s="20" t="n">
        <v>3</v>
      </c>
    </row>
    <row r="7" customFormat="false" ht="15" hidden="false" customHeight="false" outlineLevel="0" collapsed="false">
      <c r="A7" s="19" t="s">
        <v>135</v>
      </c>
      <c r="B7" s="20" t="s">
        <v>61</v>
      </c>
      <c r="C7" s="20" t="n">
        <v>1</v>
      </c>
    </row>
    <row r="8" customFormat="false" ht="15" hidden="false" customHeight="false" outlineLevel="0" collapsed="false">
      <c r="A8" s="19" t="s">
        <v>136</v>
      </c>
      <c r="B8" s="20" t="s">
        <v>64</v>
      </c>
      <c r="C8" s="20" t="n">
        <v>3</v>
      </c>
    </row>
    <row r="9" customFormat="false" ht="15" hidden="false" customHeight="false" outlineLevel="0" collapsed="false">
      <c r="A9" s="19" t="s">
        <v>137</v>
      </c>
      <c r="B9" s="20" t="s">
        <v>64</v>
      </c>
      <c r="C9" s="20" t="n">
        <v>3</v>
      </c>
    </row>
    <row r="10" customFormat="false" ht="15" hidden="false" customHeight="false" outlineLevel="0" collapsed="false">
      <c r="A10" s="19" t="s">
        <v>138</v>
      </c>
      <c r="B10" s="20" t="s">
        <v>64</v>
      </c>
      <c r="C10" s="20" t="n">
        <v>3</v>
      </c>
    </row>
    <row r="11" customFormat="false" ht="15" hidden="false" customHeight="false" outlineLevel="0" collapsed="false">
      <c r="A11" s="19" t="s">
        <v>139</v>
      </c>
      <c r="B11" s="20" t="s">
        <v>64</v>
      </c>
      <c r="C11" s="20" t="n">
        <v>3</v>
      </c>
    </row>
    <row r="12" customFormat="false" ht="15" hidden="false" customHeight="false" outlineLevel="0" collapsed="false">
      <c r="A12" s="19" t="s">
        <v>140</v>
      </c>
      <c r="B12" s="20" t="s">
        <v>64</v>
      </c>
      <c r="C12" s="20" t="n">
        <v>3</v>
      </c>
    </row>
    <row r="13" customFormat="false" ht="15" hidden="false" customHeight="false" outlineLevel="0" collapsed="false">
      <c r="A13" s="19" t="s">
        <v>141</v>
      </c>
      <c r="B13" s="20" t="s">
        <v>64</v>
      </c>
      <c r="C13" s="20" t="n">
        <v>3</v>
      </c>
    </row>
    <row r="14" customFormat="false" ht="15" hidden="false" customHeight="false" outlineLevel="0" collapsed="false">
      <c r="A14" s="19" t="s">
        <v>142</v>
      </c>
      <c r="B14" s="20" t="s">
        <v>64</v>
      </c>
      <c r="C14" s="20" t="n">
        <v>3</v>
      </c>
    </row>
    <row r="15" customFormat="false" ht="15" hidden="false" customHeight="false" outlineLevel="0" collapsed="false">
      <c r="A15" s="19" t="s">
        <v>143</v>
      </c>
      <c r="B15" s="20" t="s">
        <v>64</v>
      </c>
      <c r="C15" s="20" t="n">
        <v>3</v>
      </c>
    </row>
    <row r="16" customFormat="false" ht="15" hidden="false" customHeight="false" outlineLevel="0" collapsed="false">
      <c r="A16" s="19" t="s">
        <v>144</v>
      </c>
      <c r="B16" s="20" t="s">
        <v>64</v>
      </c>
      <c r="C16" s="20" t="n">
        <v>3</v>
      </c>
    </row>
    <row r="17" customFormat="false" ht="15" hidden="false" customHeight="false" outlineLevel="0" collapsed="false">
      <c r="A17" s="19" t="s">
        <v>145</v>
      </c>
      <c r="B17" s="20" t="s">
        <v>64</v>
      </c>
      <c r="C17" s="20" t="n">
        <v>3</v>
      </c>
    </row>
    <row r="18" customFormat="false" ht="15" hidden="false" customHeight="false" outlineLevel="0" collapsed="false">
      <c r="A18" s="19" t="s">
        <v>146</v>
      </c>
      <c r="B18" s="20" t="s">
        <v>64</v>
      </c>
      <c r="C18" s="20" t="n">
        <v>3</v>
      </c>
    </row>
    <row r="19" customFormat="false" ht="15" hidden="false" customHeight="false" outlineLevel="0" collapsed="false">
      <c r="A19" s="19" t="s">
        <v>147</v>
      </c>
      <c r="B19" s="20" t="s">
        <v>66</v>
      </c>
      <c r="C19" s="20" t="n">
        <v>2</v>
      </c>
    </row>
    <row r="20" customFormat="false" ht="15" hidden="false" customHeight="false" outlineLevel="0" collapsed="false">
      <c r="A20" s="19" t="s">
        <v>148</v>
      </c>
      <c r="B20" s="20" t="s">
        <v>64</v>
      </c>
      <c r="C20" s="20" t="n">
        <v>3</v>
      </c>
    </row>
    <row r="21" customFormat="false" ht="15" hidden="false" customHeight="false" outlineLevel="0" collapsed="false">
      <c r="A21" s="19" t="s">
        <v>149</v>
      </c>
      <c r="B21" s="20" t="s">
        <v>66</v>
      </c>
      <c r="C21" s="20" t="n">
        <v>2</v>
      </c>
    </row>
    <row r="22" customFormat="false" ht="15" hidden="false" customHeight="false" outlineLevel="0" collapsed="false">
      <c r="A22" s="19" t="s">
        <v>150</v>
      </c>
      <c r="B22" s="20" t="s">
        <v>64</v>
      </c>
      <c r="C22" s="20" t="n">
        <v>3</v>
      </c>
    </row>
    <row r="23" customFormat="false" ht="15" hidden="false" customHeight="false" outlineLevel="0" collapsed="false">
      <c r="A23" s="19" t="s">
        <v>151</v>
      </c>
      <c r="B23" s="20" t="s">
        <v>64</v>
      </c>
      <c r="C23" s="20" t="n">
        <v>3</v>
      </c>
    </row>
    <row r="24" customFormat="false" ht="15" hidden="false" customHeight="false" outlineLevel="0" collapsed="false">
      <c r="A24" s="19" t="s">
        <v>152</v>
      </c>
      <c r="B24" s="20" t="s">
        <v>64</v>
      </c>
      <c r="C24" s="20" t="n">
        <v>3</v>
      </c>
    </row>
    <row r="25" customFormat="false" ht="15" hidden="false" customHeight="false" outlineLevel="0" collapsed="false">
      <c r="A25" s="19" t="s">
        <v>153</v>
      </c>
      <c r="B25" s="20" t="s">
        <v>64</v>
      </c>
      <c r="C25" s="20" t="n">
        <v>3</v>
      </c>
    </row>
    <row r="26" customFormat="false" ht="15" hidden="false" customHeight="false" outlineLevel="0" collapsed="false">
      <c r="A26" s="19" t="s">
        <v>154</v>
      </c>
      <c r="B26" s="20" t="s">
        <v>66</v>
      </c>
      <c r="C26" s="20" t="n">
        <v>2</v>
      </c>
    </row>
    <row r="27" customFormat="false" ht="15" hidden="false" customHeight="false" outlineLevel="0" collapsed="false">
      <c r="A27" s="19" t="s">
        <v>155</v>
      </c>
      <c r="B27" s="20" t="s">
        <v>66</v>
      </c>
      <c r="C27" s="20" t="n">
        <v>2</v>
      </c>
    </row>
    <row r="28" customFormat="false" ht="15" hidden="false" customHeight="false" outlineLevel="0" collapsed="false">
      <c r="A28" s="19" t="s">
        <v>156</v>
      </c>
      <c r="B28" s="20" t="s">
        <v>64</v>
      </c>
      <c r="C28" s="20" t="n">
        <v>3</v>
      </c>
    </row>
    <row r="29" customFormat="false" ht="15" hidden="false" customHeight="false" outlineLevel="0" collapsed="false">
      <c r="A29" s="19" t="s">
        <v>157</v>
      </c>
      <c r="B29" s="20" t="s">
        <v>64</v>
      </c>
      <c r="C29" s="20" t="n">
        <v>3</v>
      </c>
    </row>
    <row r="30" customFormat="false" ht="15" hidden="false" customHeight="false" outlineLevel="0" collapsed="false">
      <c r="A30" s="19" t="s">
        <v>158</v>
      </c>
      <c r="B30" s="20" t="s">
        <v>64</v>
      </c>
      <c r="C30" s="20" t="n">
        <v>3</v>
      </c>
    </row>
    <row r="31" customFormat="false" ht="15" hidden="false" customHeight="false" outlineLevel="0" collapsed="false">
      <c r="A31" s="19" t="s">
        <v>159</v>
      </c>
      <c r="B31" s="20" t="s">
        <v>64</v>
      </c>
      <c r="C31" s="20" t="n">
        <v>3</v>
      </c>
    </row>
    <row r="32" customFormat="false" ht="15" hidden="false" customHeight="false" outlineLevel="0" collapsed="false">
      <c r="A32" s="19" t="s">
        <v>160</v>
      </c>
      <c r="B32" s="20" t="s">
        <v>64</v>
      </c>
      <c r="C32" s="20" t="n">
        <v>3</v>
      </c>
    </row>
    <row r="33" customFormat="false" ht="15" hidden="false" customHeight="false" outlineLevel="0" collapsed="false">
      <c r="A33" s="19" t="s">
        <v>161</v>
      </c>
      <c r="B33" s="20" t="s">
        <v>61</v>
      </c>
      <c r="C33" s="20" t="n">
        <v>1</v>
      </c>
    </row>
    <row r="34" customFormat="false" ht="15" hidden="false" customHeight="false" outlineLevel="0" collapsed="false">
      <c r="A34" s="19" t="s">
        <v>162</v>
      </c>
      <c r="B34" s="20" t="s">
        <v>64</v>
      </c>
      <c r="C34" s="20" t="n">
        <v>3</v>
      </c>
    </row>
    <row r="35" customFormat="false" ht="15" hidden="false" customHeight="false" outlineLevel="0" collapsed="false">
      <c r="A35" s="19" t="s">
        <v>163</v>
      </c>
      <c r="B35" s="20" t="s">
        <v>64</v>
      </c>
      <c r="C35" s="20" t="n">
        <v>3</v>
      </c>
    </row>
    <row r="36" customFormat="false" ht="15" hidden="false" customHeight="false" outlineLevel="0" collapsed="false">
      <c r="A36" s="19" t="s">
        <v>164</v>
      </c>
      <c r="B36" s="20" t="s">
        <v>66</v>
      </c>
      <c r="C36" s="20" t="n">
        <v>2</v>
      </c>
    </row>
    <row r="37" customFormat="false" ht="15" hidden="false" customHeight="false" outlineLevel="0" collapsed="false">
      <c r="A37" s="19" t="s">
        <v>165</v>
      </c>
      <c r="B37" s="20" t="s">
        <v>66</v>
      </c>
      <c r="C37" s="20" t="n">
        <v>2</v>
      </c>
    </row>
    <row r="38" customFormat="false" ht="15" hidden="false" customHeight="false" outlineLevel="0" collapsed="false">
      <c r="A38" s="19" t="s">
        <v>166</v>
      </c>
      <c r="B38" s="20" t="s">
        <v>64</v>
      </c>
      <c r="C38" s="20" t="n">
        <v>3</v>
      </c>
    </row>
    <row r="39" customFormat="false" ht="15" hidden="false" customHeight="false" outlineLevel="0" collapsed="false">
      <c r="A39" s="19" t="s">
        <v>167</v>
      </c>
      <c r="B39" s="20" t="s">
        <v>64</v>
      </c>
      <c r="C39" s="20" t="n">
        <v>3</v>
      </c>
    </row>
    <row r="40" customFormat="false" ht="15" hidden="false" customHeight="false" outlineLevel="0" collapsed="false">
      <c r="A40" s="19" t="s">
        <v>168</v>
      </c>
      <c r="B40" s="20" t="s">
        <v>64</v>
      </c>
      <c r="C40" s="20" t="n">
        <v>3</v>
      </c>
    </row>
    <row r="41" customFormat="false" ht="15" hidden="false" customHeight="false" outlineLevel="0" collapsed="false">
      <c r="A41" s="19" t="s">
        <v>169</v>
      </c>
      <c r="B41" s="20" t="s">
        <v>61</v>
      </c>
      <c r="C41" s="20" t="n">
        <v>1</v>
      </c>
    </row>
    <row r="42" customFormat="false" ht="15" hidden="false" customHeight="false" outlineLevel="0" collapsed="false">
      <c r="A42" s="19" t="s">
        <v>170</v>
      </c>
      <c r="B42" s="20" t="s">
        <v>66</v>
      </c>
      <c r="C42" s="20" t="n">
        <v>2</v>
      </c>
    </row>
    <row r="43" customFormat="false" ht="15" hidden="false" customHeight="false" outlineLevel="0" collapsed="false">
      <c r="A43" s="19" t="s">
        <v>171</v>
      </c>
      <c r="B43" s="20" t="s">
        <v>61</v>
      </c>
      <c r="C43" s="20" t="n">
        <v>1</v>
      </c>
    </row>
    <row r="44" customFormat="false" ht="15" hidden="false" customHeight="false" outlineLevel="0" collapsed="false">
      <c r="A44" s="19" t="s">
        <v>172</v>
      </c>
      <c r="B44" s="20" t="s">
        <v>64</v>
      </c>
      <c r="C44" s="20" t="n">
        <v>3</v>
      </c>
    </row>
    <row r="45" customFormat="false" ht="15" hidden="false" customHeight="false" outlineLevel="0" collapsed="false">
      <c r="A45" s="19" t="s">
        <v>173</v>
      </c>
      <c r="B45" s="20" t="s">
        <v>64</v>
      </c>
      <c r="C45" s="20" t="n">
        <v>3</v>
      </c>
    </row>
    <row r="46" customFormat="false" ht="15" hidden="false" customHeight="false" outlineLevel="0" collapsed="false">
      <c r="A46" s="19" t="s">
        <v>174</v>
      </c>
      <c r="B46" s="20" t="s">
        <v>64</v>
      </c>
      <c r="C46" s="20" t="n">
        <v>3</v>
      </c>
    </row>
    <row r="47" customFormat="false" ht="15" hidden="false" customHeight="false" outlineLevel="0" collapsed="false">
      <c r="A47" s="19" t="s">
        <v>175</v>
      </c>
      <c r="B47" s="20" t="s">
        <v>64</v>
      </c>
      <c r="C47" s="20" t="n">
        <v>3</v>
      </c>
    </row>
    <row r="48" customFormat="false" ht="15" hidden="false" customHeight="false" outlineLevel="0" collapsed="false">
      <c r="A48" s="19" t="s">
        <v>176</v>
      </c>
      <c r="B48" s="20" t="s">
        <v>64</v>
      </c>
      <c r="C48" s="20" t="n">
        <v>3</v>
      </c>
    </row>
    <row r="49" customFormat="false" ht="15" hidden="false" customHeight="false" outlineLevel="0" collapsed="false">
      <c r="A49" s="19" t="s">
        <v>177</v>
      </c>
      <c r="B49" s="20" t="s">
        <v>66</v>
      </c>
      <c r="C49" s="20" t="n">
        <v>2</v>
      </c>
    </row>
    <row r="50" customFormat="false" ht="15" hidden="false" customHeight="false" outlineLevel="0" collapsed="false">
      <c r="A50" s="19" t="s">
        <v>178</v>
      </c>
      <c r="B50" s="20" t="s">
        <v>66</v>
      </c>
      <c r="C50" s="20" t="n">
        <v>2</v>
      </c>
    </row>
    <row r="51" customFormat="false" ht="15" hidden="false" customHeight="false" outlineLevel="0" collapsed="false">
      <c r="A51" s="19" t="s">
        <v>179</v>
      </c>
      <c r="B51" s="20" t="s">
        <v>64</v>
      </c>
      <c r="C51" s="20" t="n">
        <v>3</v>
      </c>
    </row>
    <row r="52" customFormat="false" ht="15" hidden="false" customHeight="false" outlineLevel="0" collapsed="false">
      <c r="A52" s="19" t="s">
        <v>180</v>
      </c>
      <c r="B52" s="20" t="s">
        <v>64</v>
      </c>
      <c r="C52" s="20" t="n">
        <v>3</v>
      </c>
    </row>
    <row r="53" customFormat="false" ht="15" hidden="false" customHeight="false" outlineLevel="0" collapsed="false">
      <c r="A53" s="19" t="s">
        <v>181</v>
      </c>
      <c r="B53" s="20" t="s">
        <v>66</v>
      </c>
      <c r="C53" s="20" t="n">
        <v>2</v>
      </c>
    </row>
    <row r="54" customFormat="false" ht="15" hidden="false" customHeight="false" outlineLevel="0" collapsed="false">
      <c r="A54" s="19" t="s">
        <v>182</v>
      </c>
      <c r="B54" s="20" t="s">
        <v>64</v>
      </c>
      <c r="C54" s="20" t="n">
        <v>3</v>
      </c>
    </row>
    <row r="55" customFormat="false" ht="15" hidden="false" customHeight="false" outlineLevel="0" collapsed="false">
      <c r="A55" s="19" t="s">
        <v>183</v>
      </c>
      <c r="B55" s="20" t="s">
        <v>61</v>
      </c>
      <c r="C55" s="20" t="n">
        <v>1</v>
      </c>
    </row>
    <row r="56" customFormat="false" ht="15" hidden="false" customHeight="false" outlineLevel="0" collapsed="false">
      <c r="A56" s="19" t="s">
        <v>184</v>
      </c>
      <c r="B56" s="20" t="s">
        <v>64</v>
      </c>
      <c r="C56" s="20" t="n">
        <v>3</v>
      </c>
    </row>
    <row r="57" customFormat="false" ht="15" hidden="false" customHeight="false" outlineLevel="0" collapsed="false">
      <c r="A57" s="19" t="s">
        <v>185</v>
      </c>
      <c r="B57" s="20" t="s">
        <v>66</v>
      </c>
      <c r="C57" s="20" t="n">
        <v>2</v>
      </c>
    </row>
    <row r="58" customFormat="false" ht="15" hidden="false" customHeight="false" outlineLevel="0" collapsed="false">
      <c r="A58" s="19" t="s">
        <v>186</v>
      </c>
      <c r="B58" s="20" t="s">
        <v>61</v>
      </c>
      <c r="C58" s="20" t="n">
        <v>1</v>
      </c>
    </row>
    <row r="59" customFormat="false" ht="15" hidden="false" customHeight="false" outlineLevel="0" collapsed="false">
      <c r="A59" s="19" t="s">
        <v>187</v>
      </c>
      <c r="B59" s="20" t="s">
        <v>61</v>
      </c>
      <c r="C59" s="20" t="n">
        <v>1</v>
      </c>
    </row>
    <row r="60" customFormat="false" ht="15" hidden="false" customHeight="false" outlineLevel="0" collapsed="false">
      <c r="A60" s="19" t="s">
        <v>188</v>
      </c>
      <c r="B60" s="20" t="s">
        <v>61</v>
      </c>
      <c r="C60" s="20" t="n">
        <v>1</v>
      </c>
    </row>
    <row r="61" customFormat="false" ht="15" hidden="false" customHeight="false" outlineLevel="0" collapsed="false">
      <c r="A61" s="19" t="s">
        <v>189</v>
      </c>
      <c r="B61" s="20" t="s">
        <v>64</v>
      </c>
      <c r="C61" s="20" t="n">
        <v>3</v>
      </c>
    </row>
    <row r="62" customFormat="false" ht="15" hidden="false" customHeight="false" outlineLevel="0" collapsed="false">
      <c r="A62" s="19" t="s">
        <v>190</v>
      </c>
      <c r="B62" s="20" t="s">
        <v>64</v>
      </c>
      <c r="C62" s="20" t="n">
        <v>3</v>
      </c>
    </row>
    <row r="63" customFormat="false" ht="15" hidden="false" customHeight="false" outlineLevel="0" collapsed="false">
      <c r="A63" s="19" t="s">
        <v>191</v>
      </c>
      <c r="B63" s="20" t="s">
        <v>64</v>
      </c>
      <c r="C63" s="20" t="n">
        <v>3</v>
      </c>
    </row>
    <row r="64" customFormat="false" ht="15" hidden="false" customHeight="false" outlineLevel="0" collapsed="false">
      <c r="A64" s="19" t="s">
        <v>192</v>
      </c>
      <c r="B64" s="20" t="s">
        <v>61</v>
      </c>
      <c r="C64" s="20" t="n">
        <v>1</v>
      </c>
    </row>
    <row r="65" customFormat="false" ht="15" hidden="false" customHeight="false" outlineLevel="0" collapsed="false">
      <c r="A65" s="19" t="s">
        <v>193</v>
      </c>
      <c r="B65" s="20" t="s">
        <v>64</v>
      </c>
      <c r="C65" s="20" t="n">
        <v>3</v>
      </c>
    </row>
    <row r="66" customFormat="false" ht="15" hidden="false" customHeight="false" outlineLevel="0" collapsed="false">
      <c r="A66" s="19" t="s">
        <v>194</v>
      </c>
      <c r="B66" s="20" t="s">
        <v>66</v>
      </c>
      <c r="C66" s="20" t="n">
        <v>2</v>
      </c>
    </row>
    <row r="67" customFormat="false" ht="15" hidden="false" customHeight="false" outlineLevel="0" collapsed="false">
      <c r="A67" s="19" t="s">
        <v>195</v>
      </c>
      <c r="B67" s="20" t="s">
        <v>64</v>
      </c>
      <c r="C67" s="20" t="n">
        <v>3</v>
      </c>
    </row>
    <row r="68" customFormat="false" ht="15" hidden="false" customHeight="false" outlineLevel="0" collapsed="false">
      <c r="A68" s="19" t="s">
        <v>196</v>
      </c>
      <c r="B68" s="20" t="s">
        <v>61</v>
      </c>
      <c r="C68" s="20" t="n">
        <v>1</v>
      </c>
    </row>
    <row r="69" customFormat="false" ht="15" hidden="false" customHeight="false" outlineLevel="0" collapsed="false">
      <c r="A69" s="19" t="s">
        <v>197</v>
      </c>
      <c r="B69" s="20" t="s">
        <v>66</v>
      </c>
      <c r="C69" s="20" t="n">
        <v>2</v>
      </c>
    </row>
    <row r="70" customFormat="false" ht="15" hidden="false" customHeight="false" outlineLevel="0" collapsed="false">
      <c r="A70" s="19" t="s">
        <v>198</v>
      </c>
      <c r="B70" s="20" t="s">
        <v>64</v>
      </c>
      <c r="C70" s="20" t="n">
        <v>3</v>
      </c>
    </row>
    <row r="71" customFormat="false" ht="15" hidden="false" customHeight="false" outlineLevel="0" collapsed="false">
      <c r="A71" s="19" t="s">
        <v>199</v>
      </c>
      <c r="B71" s="20" t="s">
        <v>66</v>
      </c>
      <c r="C71" s="20" t="n">
        <v>2</v>
      </c>
    </row>
    <row r="72" customFormat="false" ht="15" hidden="false" customHeight="false" outlineLevel="0" collapsed="false">
      <c r="A72" s="19" t="s">
        <v>200</v>
      </c>
      <c r="B72" s="20" t="s">
        <v>66</v>
      </c>
      <c r="C72" s="20" t="n">
        <v>2</v>
      </c>
    </row>
    <row r="73" customFormat="false" ht="15" hidden="false" customHeight="false" outlineLevel="0" collapsed="false">
      <c r="A73" s="19" t="s">
        <v>201</v>
      </c>
      <c r="B73" s="20" t="s">
        <v>66</v>
      </c>
      <c r="C73" s="20" t="n">
        <v>2</v>
      </c>
    </row>
    <row r="74" customFormat="false" ht="15" hidden="false" customHeight="false" outlineLevel="0" collapsed="false">
      <c r="A74" s="19" t="s">
        <v>202</v>
      </c>
      <c r="B74" s="20" t="s">
        <v>64</v>
      </c>
      <c r="C74" s="20" t="n">
        <v>3</v>
      </c>
    </row>
    <row r="75" customFormat="false" ht="15" hidden="false" customHeight="false" outlineLevel="0" collapsed="false">
      <c r="A75" s="19" t="s">
        <v>203</v>
      </c>
      <c r="B75" s="20" t="s">
        <v>66</v>
      </c>
      <c r="C75" s="20" t="n">
        <v>2</v>
      </c>
    </row>
    <row r="76" customFormat="false" ht="15" hidden="false" customHeight="false" outlineLevel="0" collapsed="false">
      <c r="A76" s="19" t="s">
        <v>204</v>
      </c>
      <c r="B76" s="20" t="s">
        <v>61</v>
      </c>
      <c r="C76" s="20" t="n">
        <v>1</v>
      </c>
    </row>
    <row r="77" customFormat="false" ht="15" hidden="false" customHeight="false" outlineLevel="0" collapsed="false">
      <c r="A77" s="19" t="s">
        <v>205</v>
      </c>
      <c r="B77" s="20" t="s">
        <v>64</v>
      </c>
      <c r="C77" s="20" t="n">
        <v>3</v>
      </c>
    </row>
    <row r="78" customFormat="false" ht="15" hidden="false" customHeight="false" outlineLevel="0" collapsed="false">
      <c r="A78" s="19" t="s">
        <v>206</v>
      </c>
      <c r="B78" s="20" t="s">
        <v>64</v>
      </c>
      <c r="C78" s="20" t="n">
        <v>3</v>
      </c>
    </row>
    <row r="79" customFormat="false" ht="15" hidden="false" customHeight="false" outlineLevel="0" collapsed="false">
      <c r="A79" s="19" t="s">
        <v>207</v>
      </c>
      <c r="B79" s="20" t="s">
        <v>64</v>
      </c>
      <c r="C79" s="20" t="n">
        <v>3</v>
      </c>
    </row>
    <row r="80" customFormat="false" ht="15" hidden="false" customHeight="false" outlineLevel="0" collapsed="false">
      <c r="A80" s="19" t="s">
        <v>208</v>
      </c>
      <c r="B80" s="20" t="s">
        <v>64</v>
      </c>
      <c r="C80" s="20" t="n">
        <v>3</v>
      </c>
    </row>
    <row r="81" customFormat="false" ht="15" hidden="false" customHeight="false" outlineLevel="0" collapsed="false">
      <c r="A81" s="19" t="s">
        <v>209</v>
      </c>
      <c r="B81" s="20" t="s">
        <v>66</v>
      </c>
      <c r="C81" s="20" t="n">
        <v>2</v>
      </c>
    </row>
    <row r="82" customFormat="false" ht="15" hidden="false" customHeight="false" outlineLevel="0" collapsed="false">
      <c r="A82" s="19" t="s">
        <v>210</v>
      </c>
      <c r="B82" s="20" t="s">
        <v>66</v>
      </c>
      <c r="C82" s="20" t="n">
        <v>2</v>
      </c>
    </row>
    <row r="83" customFormat="false" ht="15" hidden="false" customHeight="false" outlineLevel="0" collapsed="false">
      <c r="A83" s="19" t="s">
        <v>211</v>
      </c>
      <c r="B83" s="20" t="s">
        <v>64</v>
      </c>
      <c r="C83" s="20" t="n">
        <v>3</v>
      </c>
    </row>
    <row r="84" customFormat="false" ht="15" hidden="false" customHeight="false" outlineLevel="0" collapsed="false">
      <c r="A84" s="19" t="s">
        <v>212</v>
      </c>
      <c r="B84" s="20" t="s">
        <v>66</v>
      </c>
      <c r="C84" s="20" t="n">
        <v>2</v>
      </c>
    </row>
    <row r="85" customFormat="false" ht="15" hidden="false" customHeight="false" outlineLevel="0" collapsed="false">
      <c r="A85" s="19" t="s">
        <v>213</v>
      </c>
      <c r="B85" s="20" t="s">
        <v>66</v>
      </c>
      <c r="C85" s="20" t="n">
        <v>2</v>
      </c>
    </row>
    <row r="86" customFormat="false" ht="15" hidden="false" customHeight="false" outlineLevel="0" collapsed="false">
      <c r="A86" s="19" t="s">
        <v>214</v>
      </c>
      <c r="B86" s="20" t="s">
        <v>64</v>
      </c>
      <c r="C86" s="20" t="n">
        <v>3</v>
      </c>
    </row>
    <row r="87" customFormat="false" ht="15" hidden="false" customHeight="false" outlineLevel="0" collapsed="false">
      <c r="A87" s="19" t="s">
        <v>215</v>
      </c>
      <c r="B87" s="20" t="s">
        <v>66</v>
      </c>
      <c r="C87" s="20" t="n">
        <v>2</v>
      </c>
    </row>
    <row r="88" customFormat="false" ht="15" hidden="false" customHeight="false" outlineLevel="0" collapsed="false">
      <c r="A88" s="19" t="s">
        <v>216</v>
      </c>
      <c r="B88" s="20" t="s">
        <v>64</v>
      </c>
      <c r="C88" s="20" t="n">
        <v>3</v>
      </c>
    </row>
    <row r="89" customFormat="false" ht="15" hidden="false" customHeight="false" outlineLevel="0" collapsed="false">
      <c r="A89" s="19" t="s">
        <v>217</v>
      </c>
      <c r="B89" s="20" t="s">
        <v>64</v>
      </c>
      <c r="C89" s="20" t="n">
        <v>3</v>
      </c>
    </row>
    <row r="90" customFormat="false" ht="15" hidden="false" customHeight="false" outlineLevel="0" collapsed="false">
      <c r="A90" s="19" t="s">
        <v>218</v>
      </c>
      <c r="B90" s="20" t="s">
        <v>64</v>
      </c>
      <c r="C90" s="20" t="n">
        <v>3</v>
      </c>
    </row>
    <row r="91" customFormat="false" ht="15" hidden="false" customHeight="false" outlineLevel="0" collapsed="false">
      <c r="A91" s="19" t="s">
        <v>219</v>
      </c>
      <c r="B91" s="20" t="s">
        <v>66</v>
      </c>
      <c r="C91" s="20" t="n">
        <v>2</v>
      </c>
    </row>
    <row r="92" customFormat="false" ht="15" hidden="false" customHeight="false" outlineLevel="0" collapsed="false">
      <c r="A92" s="19" t="s">
        <v>220</v>
      </c>
      <c r="B92" s="20" t="s">
        <v>66</v>
      </c>
      <c r="C92" s="20" t="n">
        <v>2</v>
      </c>
    </row>
    <row r="93" customFormat="false" ht="15" hidden="false" customHeight="false" outlineLevel="0" collapsed="false">
      <c r="A93" s="19" t="s">
        <v>221</v>
      </c>
      <c r="B93" s="20" t="s">
        <v>66</v>
      </c>
      <c r="C93" s="20" t="n">
        <v>2</v>
      </c>
    </row>
    <row r="94" customFormat="false" ht="15" hidden="false" customHeight="false" outlineLevel="0" collapsed="false">
      <c r="A94" s="19" t="s">
        <v>222</v>
      </c>
      <c r="B94" s="20" t="s">
        <v>66</v>
      </c>
      <c r="C94" s="20" t="n">
        <v>2</v>
      </c>
    </row>
    <row r="95" customFormat="false" ht="15" hidden="false" customHeight="false" outlineLevel="0" collapsed="false">
      <c r="A95" s="19" t="s">
        <v>223</v>
      </c>
      <c r="B95" s="20" t="s">
        <v>66</v>
      </c>
      <c r="C95" s="20" t="n">
        <v>2</v>
      </c>
    </row>
    <row r="96" customFormat="false" ht="15" hidden="false" customHeight="false" outlineLevel="0" collapsed="false">
      <c r="A96" s="19" t="s">
        <v>224</v>
      </c>
      <c r="B96" s="20" t="s">
        <v>61</v>
      </c>
      <c r="C96" s="20" t="n">
        <v>1</v>
      </c>
    </row>
    <row r="97" customFormat="false" ht="15" hidden="false" customHeight="false" outlineLevel="0" collapsed="false">
      <c r="A97" s="19" t="s">
        <v>225</v>
      </c>
      <c r="B97" s="20" t="s">
        <v>61</v>
      </c>
      <c r="C97" s="20" t="n">
        <v>1</v>
      </c>
    </row>
    <row r="98" customFormat="false" ht="15" hidden="false" customHeight="false" outlineLevel="0" collapsed="false">
      <c r="A98" s="19" t="s">
        <v>226</v>
      </c>
      <c r="B98" s="20" t="s">
        <v>64</v>
      </c>
      <c r="C98" s="20" t="n">
        <v>3</v>
      </c>
    </row>
    <row r="99" customFormat="false" ht="15" hidden="false" customHeight="false" outlineLevel="0" collapsed="false">
      <c r="A99" s="19" t="s">
        <v>227</v>
      </c>
      <c r="B99" s="20" t="s">
        <v>66</v>
      </c>
      <c r="C99" s="20" t="n">
        <v>2</v>
      </c>
    </row>
    <row r="100" customFormat="false" ht="15" hidden="false" customHeight="false" outlineLevel="0" collapsed="false">
      <c r="A100" s="19" t="s">
        <v>228</v>
      </c>
      <c r="B100" s="20" t="s">
        <v>64</v>
      </c>
      <c r="C100" s="20" t="n">
        <v>3</v>
      </c>
    </row>
    <row r="101" customFormat="false" ht="15" hidden="false" customHeight="false" outlineLevel="0" collapsed="false">
      <c r="A101" s="19" t="s">
        <v>229</v>
      </c>
      <c r="B101" s="20" t="s">
        <v>66</v>
      </c>
      <c r="C101" s="20" t="n">
        <v>2</v>
      </c>
    </row>
    <row r="102" customFormat="false" ht="15" hidden="false" customHeight="false" outlineLevel="0" collapsed="false">
      <c r="A102" s="19" t="s">
        <v>230</v>
      </c>
      <c r="B102" s="20" t="s">
        <v>64</v>
      </c>
      <c r="C102" s="20" t="n">
        <v>3</v>
      </c>
    </row>
    <row r="103" customFormat="false" ht="15" hidden="false" customHeight="false" outlineLevel="0" collapsed="false">
      <c r="A103" s="19" t="s">
        <v>231</v>
      </c>
      <c r="B103" s="20" t="s">
        <v>64</v>
      </c>
      <c r="C103" s="20" t="n">
        <v>3</v>
      </c>
    </row>
    <row r="104" customFormat="false" ht="15" hidden="false" customHeight="false" outlineLevel="0" collapsed="false">
      <c r="A104" s="19" t="s">
        <v>232</v>
      </c>
      <c r="B104" s="20" t="s">
        <v>66</v>
      </c>
      <c r="C104" s="20" t="n">
        <v>2</v>
      </c>
    </row>
    <row r="105" customFormat="false" ht="15" hidden="false" customHeight="false" outlineLevel="0" collapsed="false">
      <c r="A105" s="19" t="s">
        <v>233</v>
      </c>
      <c r="B105" s="20" t="s">
        <v>66</v>
      </c>
      <c r="C105" s="20" t="n">
        <v>2</v>
      </c>
    </row>
    <row r="106" customFormat="false" ht="15" hidden="false" customHeight="false" outlineLevel="0" collapsed="false">
      <c r="A106" s="19" t="s">
        <v>234</v>
      </c>
      <c r="B106" s="20" t="s">
        <v>61</v>
      </c>
      <c r="C106" s="20" t="n">
        <v>1</v>
      </c>
    </row>
    <row r="107" customFormat="false" ht="15" hidden="false" customHeight="false" outlineLevel="0" collapsed="false">
      <c r="A107" s="19" t="s">
        <v>235</v>
      </c>
      <c r="B107" s="20" t="s">
        <v>64</v>
      </c>
      <c r="C107" s="20" t="n">
        <v>3</v>
      </c>
    </row>
    <row r="108" customFormat="false" ht="15" hidden="false" customHeight="false" outlineLevel="0" collapsed="false">
      <c r="A108" s="19" t="s">
        <v>236</v>
      </c>
      <c r="B108" s="20" t="s">
        <v>61</v>
      </c>
      <c r="C108" s="20" t="n">
        <v>1</v>
      </c>
    </row>
    <row r="109" customFormat="false" ht="15" hidden="false" customHeight="false" outlineLevel="0" collapsed="false">
      <c r="A109" s="19" t="s">
        <v>237</v>
      </c>
      <c r="B109" s="20" t="s">
        <v>64</v>
      </c>
      <c r="C109" s="20" t="n">
        <v>3</v>
      </c>
    </row>
    <row r="110" customFormat="false" ht="15" hidden="false" customHeight="false" outlineLevel="0" collapsed="false">
      <c r="A110" s="19" t="s">
        <v>238</v>
      </c>
      <c r="B110" s="20" t="s">
        <v>66</v>
      </c>
      <c r="C110" s="20" t="n">
        <v>2</v>
      </c>
    </row>
    <row r="111" customFormat="false" ht="15" hidden="false" customHeight="false" outlineLevel="0" collapsed="false">
      <c r="A111" s="19" t="s">
        <v>239</v>
      </c>
      <c r="B111" s="20" t="s">
        <v>64</v>
      </c>
      <c r="C111" s="20" t="n">
        <v>3</v>
      </c>
    </row>
    <row r="112" customFormat="false" ht="15" hidden="false" customHeight="false" outlineLevel="0" collapsed="false">
      <c r="A112" s="19" t="s">
        <v>240</v>
      </c>
      <c r="B112" s="20" t="s">
        <v>61</v>
      </c>
      <c r="C112" s="20" t="n">
        <v>1</v>
      </c>
    </row>
    <row r="113" customFormat="false" ht="15" hidden="false" customHeight="false" outlineLevel="0" collapsed="false">
      <c r="A113" s="19" t="s">
        <v>241</v>
      </c>
      <c r="B113" s="20" t="s">
        <v>64</v>
      </c>
      <c r="C113" s="20" t="n">
        <v>3</v>
      </c>
    </row>
    <row r="114" customFormat="false" ht="15" hidden="false" customHeight="false" outlineLevel="0" collapsed="false">
      <c r="A114" s="19" t="s">
        <v>242</v>
      </c>
      <c r="B114" s="20" t="s">
        <v>66</v>
      </c>
      <c r="C114" s="20" t="n">
        <v>2</v>
      </c>
    </row>
    <row r="115" customFormat="false" ht="15" hidden="false" customHeight="false" outlineLevel="0" collapsed="false">
      <c r="A115" s="19" t="s">
        <v>243</v>
      </c>
      <c r="B115" s="20" t="s">
        <v>66</v>
      </c>
      <c r="C115" s="20" t="n">
        <v>2</v>
      </c>
    </row>
    <row r="116" customFormat="false" ht="15" hidden="false" customHeight="false" outlineLevel="0" collapsed="false">
      <c r="A116" s="19" t="s">
        <v>244</v>
      </c>
      <c r="B116" s="20" t="s">
        <v>66</v>
      </c>
      <c r="C116" s="20" t="n">
        <v>2</v>
      </c>
    </row>
    <row r="117" customFormat="false" ht="15" hidden="false" customHeight="false" outlineLevel="0" collapsed="false">
      <c r="A117" s="19" t="s">
        <v>245</v>
      </c>
      <c r="B117" s="20" t="s">
        <v>66</v>
      </c>
      <c r="C117" s="20" t="n">
        <v>2</v>
      </c>
    </row>
    <row r="118" customFormat="false" ht="15" hidden="false" customHeight="false" outlineLevel="0" collapsed="false">
      <c r="A118" s="19" t="s">
        <v>246</v>
      </c>
      <c r="B118" s="20" t="s">
        <v>66</v>
      </c>
      <c r="C118" s="20" t="n">
        <v>2</v>
      </c>
    </row>
    <row r="119" customFormat="false" ht="15" hidden="false" customHeight="false" outlineLevel="0" collapsed="false">
      <c r="A119" s="19" t="s">
        <v>247</v>
      </c>
      <c r="B119" s="20" t="s">
        <v>61</v>
      </c>
      <c r="C119" s="20" t="n">
        <v>1</v>
      </c>
    </row>
    <row r="120" customFormat="false" ht="15" hidden="false" customHeight="false" outlineLevel="0" collapsed="false">
      <c r="A120" s="19" t="s">
        <v>248</v>
      </c>
      <c r="B120" s="20" t="s">
        <v>64</v>
      </c>
      <c r="C120" s="20" t="n">
        <v>3</v>
      </c>
    </row>
    <row r="121" customFormat="false" ht="15" hidden="false" customHeight="false" outlineLevel="0" collapsed="false">
      <c r="A121" s="19" t="s">
        <v>249</v>
      </c>
      <c r="B121" s="20" t="s">
        <v>64</v>
      </c>
      <c r="C121" s="20" t="n">
        <v>3</v>
      </c>
    </row>
    <row r="122" customFormat="false" ht="15" hidden="false" customHeight="false" outlineLevel="0" collapsed="false">
      <c r="A122" s="19" t="s">
        <v>250</v>
      </c>
      <c r="B122" s="20" t="s">
        <v>64</v>
      </c>
      <c r="C122" s="20" t="n">
        <v>3</v>
      </c>
    </row>
    <row r="123" customFormat="false" ht="15" hidden="false" customHeight="false" outlineLevel="0" collapsed="false">
      <c r="A123" s="19" t="s">
        <v>251</v>
      </c>
      <c r="B123" s="20" t="s">
        <v>66</v>
      </c>
      <c r="C123" s="20" t="n">
        <v>2</v>
      </c>
    </row>
    <row r="124" customFormat="false" ht="15" hidden="false" customHeight="false" outlineLevel="0" collapsed="false">
      <c r="A124" s="19" t="s">
        <v>252</v>
      </c>
      <c r="B124" s="20" t="s">
        <v>61</v>
      </c>
      <c r="C124" s="20" t="n">
        <v>1</v>
      </c>
    </row>
    <row r="125" customFormat="false" ht="15" hidden="false" customHeight="false" outlineLevel="0" collapsed="false">
      <c r="A125" s="19" t="s">
        <v>253</v>
      </c>
      <c r="B125" s="20" t="s">
        <v>61</v>
      </c>
      <c r="C125" s="20" t="n">
        <v>1</v>
      </c>
    </row>
    <row r="126" customFormat="false" ht="15" hidden="false" customHeight="false" outlineLevel="0" collapsed="false">
      <c r="A126" s="19" t="s">
        <v>254</v>
      </c>
      <c r="B126" s="20" t="s">
        <v>64</v>
      </c>
      <c r="C126" s="20" t="n">
        <v>3</v>
      </c>
    </row>
    <row r="127" customFormat="false" ht="15" hidden="false" customHeight="false" outlineLevel="0" collapsed="false">
      <c r="A127" s="19" t="s">
        <v>255</v>
      </c>
      <c r="B127" s="20" t="s">
        <v>64</v>
      </c>
      <c r="C127" s="20" t="n">
        <v>3</v>
      </c>
    </row>
    <row r="128" customFormat="false" ht="15" hidden="false" customHeight="false" outlineLevel="0" collapsed="false">
      <c r="A128" s="19" t="s">
        <v>256</v>
      </c>
      <c r="B128" s="20" t="s">
        <v>64</v>
      </c>
      <c r="C128" s="20" t="n">
        <v>3</v>
      </c>
    </row>
    <row r="129" customFormat="false" ht="15" hidden="false" customHeight="false" outlineLevel="0" collapsed="false">
      <c r="A129" s="19" t="s">
        <v>257</v>
      </c>
      <c r="B129" s="20" t="s">
        <v>64</v>
      </c>
      <c r="C129" s="20" t="n">
        <v>3</v>
      </c>
    </row>
    <row r="131" customFormat="false" ht="15" hidden="false" customHeight="false" outlineLevel="0" collapsed="false">
      <c r="A131" s="10" t="s">
        <v>258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6" min="2" style="0" width="9"/>
    <col collapsed="false" customWidth="true" hidden="false" outlineLevel="0" max="88" min="88" style="0" width="14"/>
  </cols>
  <sheetData>
    <row r="1" customFormat="false" ht="17.35" hidden="false" customHeight="false" outlineLevel="0" collapsed="false">
      <c r="A1" s="1" t="s">
        <v>259</v>
      </c>
      <c r="B1" s="21" t="n">
        <f aca="false">IF(B$3="",0,IFERROR(INDEX('OCRMS Risk Map'!$C:$C,MATCH(B$3,'OCRMS Risk Map'!$A:$A,0)),0))</f>
        <v>0</v>
      </c>
      <c r="C1" s="21" t="n">
        <f aca="false">IF(C$3="",0,IFERROR(INDEX('OCRMS Risk Map'!$C:$C,MATCH(C$3,'OCRMS Risk Map'!$A:$A,0)),0))</f>
        <v>0</v>
      </c>
      <c r="D1" s="21" t="n">
        <f aca="false">IF(D$3="",0,IFERROR(INDEX('OCRMS Risk Map'!$C:$C,MATCH(D$3,'OCRMS Risk Map'!$A:$A,0)),0))</f>
        <v>0</v>
      </c>
      <c r="E1" s="21" t="n">
        <f aca="false">IF(E$3="",0,IFERROR(INDEX('OCRMS Risk Map'!$C:$C,MATCH(E$3,'OCRMS Risk Map'!$A:$A,0)),0))</f>
        <v>0</v>
      </c>
      <c r="F1" s="21" t="n">
        <f aca="false">IF(F$3="",0,IFERROR(INDEX('OCRMS Risk Map'!$C:$C,MATCH(F$3,'OCRMS Risk Map'!$A:$A,0)),0))</f>
        <v>0</v>
      </c>
      <c r="G1" s="21" t="n">
        <f aca="false">IF(G$3="",0,IFERROR(INDEX('OCRMS Risk Map'!$C:$C,MATCH(G$3,'OCRMS Risk Map'!$A:$A,0)),0))</f>
        <v>0</v>
      </c>
      <c r="H1" s="21" t="n">
        <f aca="false">IF(H$3="",0,IFERROR(INDEX('OCRMS Risk Map'!$C:$C,MATCH(H$3,'OCRMS Risk Map'!$A:$A,0)),0))</f>
        <v>0</v>
      </c>
      <c r="I1" s="21" t="n">
        <f aca="false">IF(I$3="",0,IFERROR(INDEX('OCRMS Risk Map'!$C:$C,MATCH(I$3,'OCRMS Risk Map'!$A:$A,0)),0))</f>
        <v>0</v>
      </c>
      <c r="J1" s="21" t="n">
        <f aca="false">IF(J$3="",0,IFERROR(INDEX('OCRMS Risk Map'!$C:$C,MATCH(J$3,'OCRMS Risk Map'!$A:$A,0)),0))</f>
        <v>0</v>
      </c>
      <c r="K1" s="21" t="n">
        <f aca="false">IF(K$3="",0,IFERROR(INDEX('OCRMS Risk Map'!$C:$C,MATCH(K$3,'OCRMS Risk Map'!$A:$A,0)),0))</f>
        <v>0</v>
      </c>
      <c r="L1" s="21" t="n">
        <f aca="false">IF(L$3="",0,IFERROR(INDEX('OCRMS Risk Map'!$C:$C,MATCH(L$3,'OCRMS Risk Map'!$A:$A,0)),0))</f>
        <v>0</v>
      </c>
      <c r="M1" s="21" t="n">
        <f aca="false">IF(M$3="",0,IFERROR(INDEX('OCRMS Risk Map'!$C:$C,MATCH(M$3,'OCRMS Risk Map'!$A:$A,0)),0))</f>
        <v>0</v>
      </c>
      <c r="N1" s="21" t="n">
        <f aca="false">IF(N$3="",0,IFERROR(INDEX('OCRMS Risk Map'!$C:$C,MATCH(N$3,'OCRMS Risk Map'!$A:$A,0)),0))</f>
        <v>0</v>
      </c>
      <c r="O1" s="21" t="n">
        <f aca="false">IF(O$3="",0,IFERROR(INDEX('OCRMS Risk Map'!$C:$C,MATCH(O$3,'OCRMS Risk Map'!$A:$A,0)),0))</f>
        <v>0</v>
      </c>
      <c r="P1" s="21" t="n">
        <f aca="false">IF(P$3="",0,IFERROR(INDEX('OCRMS Risk Map'!$C:$C,MATCH(P$3,'OCRMS Risk Map'!$A:$A,0)),0))</f>
        <v>0</v>
      </c>
      <c r="Q1" s="21" t="n">
        <f aca="false">IF(Q$3="",0,IFERROR(INDEX('OCRMS Risk Map'!$C:$C,MATCH(Q$3,'OCRMS Risk Map'!$A:$A,0)),0))</f>
        <v>0</v>
      </c>
      <c r="R1" s="21" t="n">
        <f aca="false">IF(R$3="",0,IFERROR(INDEX('OCRMS Risk Map'!$C:$C,MATCH(R$3,'OCRMS Risk Map'!$A:$A,0)),0))</f>
        <v>0</v>
      </c>
      <c r="S1" s="21" t="n">
        <f aca="false">IF(S$3="",0,IFERROR(INDEX('OCRMS Risk Map'!$C:$C,MATCH(S$3,'OCRMS Risk Map'!$A:$A,0)),0))</f>
        <v>0</v>
      </c>
      <c r="T1" s="21" t="n">
        <f aca="false">IF(T$3="",0,IFERROR(INDEX('OCRMS Risk Map'!$C:$C,MATCH(T$3,'OCRMS Risk Map'!$A:$A,0)),0))</f>
        <v>0</v>
      </c>
      <c r="U1" s="21" t="n">
        <f aca="false">IF(U$3="",0,IFERROR(INDEX('OCRMS Risk Map'!$C:$C,MATCH(U$3,'OCRMS Risk Map'!$A:$A,0)),0))</f>
        <v>0</v>
      </c>
      <c r="V1" s="21" t="n">
        <f aca="false">IF(V$3="",0,IFERROR(INDEX('OCRMS Risk Map'!$C:$C,MATCH(V$3,'OCRMS Risk Map'!$A:$A,0)),0))</f>
        <v>0</v>
      </c>
      <c r="W1" s="21" t="n">
        <f aca="false">IF(W$3="",0,IFERROR(INDEX('OCRMS Risk Map'!$C:$C,MATCH(W$3,'OCRMS Risk Map'!$A:$A,0)),0))</f>
        <v>0</v>
      </c>
      <c r="X1" s="21" t="n">
        <f aca="false">IF(X$3="",0,IFERROR(INDEX('OCRMS Risk Map'!$C:$C,MATCH(X$3,'OCRMS Risk Map'!$A:$A,0)),0))</f>
        <v>0</v>
      </c>
      <c r="Y1" s="21" t="n">
        <f aca="false">IF(Y$3="",0,IFERROR(INDEX('OCRMS Risk Map'!$C:$C,MATCH(Y$3,'OCRMS Risk Map'!$A:$A,0)),0))</f>
        <v>0</v>
      </c>
      <c r="Z1" s="21" t="n">
        <f aca="false">IF(Z$3="",0,IFERROR(INDEX('OCRMS Risk Map'!$C:$C,MATCH(Z$3,'OCRMS Risk Map'!$A:$A,0)),0))</f>
        <v>0</v>
      </c>
      <c r="AA1" s="21" t="n">
        <f aca="false">IF(AA$3="",0,IFERROR(INDEX('OCRMS Risk Map'!$C:$C,MATCH(AA$3,'OCRMS Risk Map'!$A:$A,0)),0))</f>
        <v>0</v>
      </c>
      <c r="AB1" s="21" t="n">
        <f aca="false">IF(AB$3="",0,IFERROR(INDEX('OCRMS Risk Map'!$C:$C,MATCH(AB$3,'OCRMS Risk Map'!$A:$A,0)),0))</f>
        <v>0</v>
      </c>
      <c r="AC1" s="21" t="n">
        <f aca="false">IF(AC$3="",0,IFERROR(INDEX('OCRMS Risk Map'!$C:$C,MATCH(AC$3,'OCRMS Risk Map'!$A:$A,0)),0))</f>
        <v>0</v>
      </c>
      <c r="AD1" s="21" t="n">
        <f aca="false">IF(AD$3="",0,IFERROR(INDEX('OCRMS Risk Map'!$C:$C,MATCH(AD$3,'OCRMS Risk Map'!$A:$A,0)),0))</f>
        <v>0</v>
      </c>
      <c r="AE1" s="21" t="n">
        <f aca="false">IF(AE$3="",0,IFERROR(INDEX('OCRMS Risk Map'!$C:$C,MATCH(AE$3,'OCRMS Risk Map'!$A:$A,0)),0))</f>
        <v>0</v>
      </c>
      <c r="AF1" s="21" t="n">
        <f aca="false">IF(AF$3="",0,IFERROR(INDEX('OCRMS Risk Map'!$C:$C,MATCH(AF$3,'OCRMS Risk Map'!$A:$A,0)),0))</f>
        <v>0</v>
      </c>
      <c r="AG1" s="21" t="n">
        <f aca="false">IF(AG$3="",0,IFERROR(INDEX('OCRMS Risk Map'!$C:$C,MATCH(AG$3,'OCRMS Risk Map'!$A:$A,0)),0))</f>
        <v>0</v>
      </c>
      <c r="AH1" s="21" t="n">
        <f aca="false">IF(AH$3="",0,IFERROR(INDEX('OCRMS Risk Map'!$C:$C,MATCH(AH$3,'OCRMS Risk Map'!$A:$A,0)),0))</f>
        <v>0</v>
      </c>
      <c r="AI1" s="21" t="n">
        <f aca="false">IF(AI$3="",0,IFERROR(INDEX('OCRMS Risk Map'!$C:$C,MATCH(AI$3,'OCRMS Risk Map'!$A:$A,0)),0))</f>
        <v>0</v>
      </c>
      <c r="AJ1" s="21" t="n">
        <f aca="false">IF(AJ$3="",0,IFERROR(INDEX('OCRMS Risk Map'!$C:$C,MATCH(AJ$3,'OCRMS Risk Map'!$A:$A,0)),0))</f>
        <v>0</v>
      </c>
      <c r="AK1" s="21" t="n">
        <f aca="false">IF(AK$3="",0,IFERROR(INDEX('OCRMS Risk Map'!$C:$C,MATCH(AK$3,'OCRMS Risk Map'!$A:$A,0)),0))</f>
        <v>0</v>
      </c>
      <c r="AL1" s="21" t="n">
        <f aca="false">IF(AL$3="",0,IFERROR(INDEX('OCRMS Risk Map'!$C:$C,MATCH(AL$3,'OCRMS Risk Map'!$A:$A,0)),0))</f>
        <v>0</v>
      </c>
      <c r="AM1" s="21" t="n">
        <f aca="false">IF(AM$3="",0,IFERROR(INDEX('OCRMS Risk Map'!$C:$C,MATCH(AM$3,'OCRMS Risk Map'!$A:$A,0)),0))</f>
        <v>0</v>
      </c>
      <c r="AN1" s="21" t="n">
        <f aca="false">IF(AN$3="",0,IFERROR(INDEX('OCRMS Risk Map'!$C:$C,MATCH(AN$3,'OCRMS Risk Map'!$A:$A,0)),0))</f>
        <v>0</v>
      </c>
      <c r="AO1" s="21" t="n">
        <f aca="false">IF(AO$3="",0,IFERROR(INDEX('OCRMS Risk Map'!$C:$C,MATCH(AO$3,'OCRMS Risk Map'!$A:$A,0)),0))</f>
        <v>0</v>
      </c>
      <c r="AP1" s="21" t="n">
        <f aca="false">IF(AP$3="",0,IFERROR(INDEX('OCRMS Risk Map'!$C:$C,MATCH(AP$3,'OCRMS Risk Map'!$A:$A,0)),0))</f>
        <v>0</v>
      </c>
      <c r="AQ1" s="21" t="n">
        <f aca="false">IF(AQ$3="",0,IFERROR(INDEX('OCRMS Risk Map'!$C:$C,MATCH(AQ$3,'OCRMS Risk Map'!$A:$A,0)),0))</f>
        <v>0</v>
      </c>
      <c r="AR1" s="21" t="n">
        <f aca="false">IF(AR$3="",0,IFERROR(INDEX('OCRMS Risk Map'!$C:$C,MATCH(AR$3,'OCRMS Risk Map'!$A:$A,0)),0))</f>
        <v>0</v>
      </c>
      <c r="AS1" s="21" t="n">
        <f aca="false">IF(AS$3="",0,IFERROR(INDEX('OCRMS Risk Map'!$C:$C,MATCH(AS$3,'OCRMS Risk Map'!$A:$A,0)),0))</f>
        <v>0</v>
      </c>
      <c r="AT1" s="21" t="n">
        <f aca="false">IF(AT$3="",0,IFERROR(INDEX('OCRMS Risk Map'!$C:$C,MATCH(AT$3,'OCRMS Risk Map'!$A:$A,0)),0))</f>
        <v>0</v>
      </c>
      <c r="AU1" s="21" t="n">
        <f aca="false">IF(AU$3="",0,IFERROR(INDEX('OCRMS Risk Map'!$C:$C,MATCH(AU$3,'OCRMS Risk Map'!$A:$A,0)),0))</f>
        <v>0</v>
      </c>
      <c r="AV1" s="21" t="n">
        <f aca="false">IF(AV$3="",0,IFERROR(INDEX('OCRMS Risk Map'!$C:$C,MATCH(AV$3,'OCRMS Risk Map'!$A:$A,0)),0))</f>
        <v>0</v>
      </c>
      <c r="AW1" s="21" t="n">
        <f aca="false">IF(AW$3="",0,IFERROR(INDEX('OCRMS Risk Map'!$C:$C,MATCH(AW$3,'OCRMS Risk Map'!$A:$A,0)),0))</f>
        <v>0</v>
      </c>
      <c r="AX1" s="21" t="n">
        <f aca="false">IF(AX$3="",0,IFERROR(INDEX('OCRMS Risk Map'!$C:$C,MATCH(AX$3,'OCRMS Risk Map'!$A:$A,0)),0))</f>
        <v>0</v>
      </c>
      <c r="AY1" s="21" t="n">
        <f aca="false">IF(AY$3="",0,IFERROR(INDEX('OCRMS Risk Map'!$C:$C,MATCH(AY$3,'OCRMS Risk Map'!$A:$A,0)),0))</f>
        <v>0</v>
      </c>
      <c r="AZ1" s="21" t="n">
        <f aca="false">IF(AZ$3="",0,IFERROR(INDEX('OCRMS Risk Map'!$C:$C,MATCH(AZ$3,'OCRMS Risk Map'!$A:$A,0)),0))</f>
        <v>0</v>
      </c>
      <c r="BA1" s="21" t="n">
        <f aca="false">IF(BA$3="",0,IFERROR(INDEX('OCRMS Risk Map'!$C:$C,MATCH(BA$3,'OCRMS Risk Map'!$A:$A,0)),0))</f>
        <v>0</v>
      </c>
      <c r="BB1" s="21" t="n">
        <f aca="false">IF(BB$3="",0,IFERROR(INDEX('OCRMS Risk Map'!$C:$C,MATCH(BB$3,'OCRMS Risk Map'!$A:$A,0)),0))</f>
        <v>0</v>
      </c>
      <c r="BC1" s="21" t="n">
        <f aca="false">IF(BC$3="",0,IFERROR(INDEX('OCRMS Risk Map'!$C:$C,MATCH(BC$3,'OCRMS Risk Map'!$A:$A,0)),0))</f>
        <v>0</v>
      </c>
      <c r="BD1" s="21" t="n">
        <f aca="false">IF(BD$3="",0,IFERROR(INDEX('OCRMS Risk Map'!$C:$C,MATCH(BD$3,'OCRMS Risk Map'!$A:$A,0)),0))</f>
        <v>0</v>
      </c>
      <c r="BE1" s="21" t="n">
        <f aca="false">IF(BE$3="",0,IFERROR(INDEX('OCRMS Risk Map'!$C:$C,MATCH(BE$3,'OCRMS Risk Map'!$A:$A,0)),0))</f>
        <v>0</v>
      </c>
      <c r="BF1" s="21" t="n">
        <f aca="false">IF(BF$3="",0,IFERROR(INDEX('OCRMS Risk Map'!$C:$C,MATCH(BF$3,'OCRMS Risk Map'!$A:$A,0)),0))</f>
        <v>0</v>
      </c>
      <c r="BG1" s="21" t="n">
        <f aca="false">IF(BG$3="",0,IFERROR(INDEX('OCRMS Risk Map'!$C:$C,MATCH(BG$3,'OCRMS Risk Map'!$A:$A,0)),0))</f>
        <v>0</v>
      </c>
      <c r="BH1" s="21" t="n">
        <f aca="false">IF(BH$3="",0,IFERROR(INDEX('OCRMS Risk Map'!$C:$C,MATCH(BH$3,'OCRMS Risk Map'!$A:$A,0)),0))</f>
        <v>0</v>
      </c>
      <c r="BI1" s="21" t="n">
        <f aca="false">IF(BI$3="",0,IFERROR(INDEX('OCRMS Risk Map'!$C:$C,MATCH(BI$3,'OCRMS Risk Map'!$A:$A,0)),0))</f>
        <v>0</v>
      </c>
      <c r="BJ1" s="21" t="n">
        <f aca="false">IF(BJ$3="",0,IFERROR(INDEX('OCRMS Risk Map'!$C:$C,MATCH(BJ$3,'OCRMS Risk Map'!$A:$A,0)),0))</f>
        <v>0</v>
      </c>
      <c r="BK1" s="21" t="n">
        <f aca="false">IF(BK$3="",0,IFERROR(INDEX('OCRMS Risk Map'!$C:$C,MATCH(BK$3,'OCRMS Risk Map'!$A:$A,0)),0))</f>
        <v>0</v>
      </c>
      <c r="BL1" s="21" t="n">
        <f aca="false">IF(BL$3="",0,IFERROR(INDEX('OCRMS Risk Map'!$C:$C,MATCH(BL$3,'OCRMS Risk Map'!$A:$A,0)),0))</f>
        <v>0</v>
      </c>
      <c r="BM1" s="21" t="n">
        <f aca="false">IF(BM$3="",0,IFERROR(INDEX('OCRMS Risk Map'!$C:$C,MATCH(BM$3,'OCRMS Risk Map'!$A:$A,0)),0))</f>
        <v>0</v>
      </c>
      <c r="BN1" s="21" t="n">
        <f aca="false">IF(BN$3="",0,IFERROR(INDEX('OCRMS Risk Map'!$C:$C,MATCH(BN$3,'OCRMS Risk Map'!$A:$A,0)),0))</f>
        <v>0</v>
      </c>
      <c r="BO1" s="21" t="n">
        <f aca="false">IF(BO$3="",0,IFERROR(INDEX('OCRMS Risk Map'!$C:$C,MATCH(BO$3,'OCRMS Risk Map'!$A:$A,0)),0))</f>
        <v>0</v>
      </c>
      <c r="BP1" s="21" t="n">
        <f aca="false">IF(BP$3="",0,IFERROR(INDEX('OCRMS Risk Map'!$C:$C,MATCH(BP$3,'OCRMS Risk Map'!$A:$A,0)),0))</f>
        <v>0</v>
      </c>
      <c r="BQ1" s="21" t="n">
        <f aca="false">IF(BQ$3="",0,IFERROR(INDEX('OCRMS Risk Map'!$C:$C,MATCH(BQ$3,'OCRMS Risk Map'!$A:$A,0)),0))</f>
        <v>0</v>
      </c>
      <c r="BR1" s="21" t="n">
        <f aca="false">IF(BR$3="",0,IFERROR(INDEX('OCRMS Risk Map'!$C:$C,MATCH(BR$3,'OCRMS Risk Map'!$A:$A,0)),0))</f>
        <v>0</v>
      </c>
      <c r="BS1" s="21" t="n">
        <f aca="false">IF(BS$3="",0,IFERROR(INDEX('OCRMS Risk Map'!$C:$C,MATCH(BS$3,'OCRMS Risk Map'!$A:$A,0)),0))</f>
        <v>0</v>
      </c>
      <c r="BT1" s="21" t="n">
        <f aca="false">IF(BT$3="",0,IFERROR(INDEX('OCRMS Risk Map'!$C:$C,MATCH(BT$3,'OCRMS Risk Map'!$A:$A,0)),0))</f>
        <v>0</v>
      </c>
      <c r="BU1" s="21" t="n">
        <f aca="false">IF(BU$3="",0,IFERROR(INDEX('OCRMS Risk Map'!$C:$C,MATCH(BU$3,'OCRMS Risk Map'!$A:$A,0)),0))</f>
        <v>0</v>
      </c>
      <c r="BV1" s="21" t="n">
        <f aca="false">IF(BV$3="",0,IFERROR(INDEX('OCRMS Risk Map'!$C:$C,MATCH(BV$3,'OCRMS Risk Map'!$A:$A,0)),0))</f>
        <v>0</v>
      </c>
      <c r="BW1" s="21" t="n">
        <f aca="false">IF(BW$3="",0,IFERROR(INDEX('OCRMS Risk Map'!$C:$C,MATCH(BW$3,'OCRMS Risk Map'!$A:$A,0)),0))</f>
        <v>0</v>
      </c>
      <c r="BX1" s="21" t="n">
        <f aca="false">IF(BX$3="",0,IFERROR(INDEX('OCRMS Risk Map'!$C:$C,MATCH(BX$3,'OCRMS Risk Map'!$A:$A,0)),0))</f>
        <v>0</v>
      </c>
      <c r="BY1" s="21" t="n">
        <f aca="false">IF(BY$3="",0,IFERROR(INDEX('OCRMS Risk Map'!$C:$C,MATCH(BY$3,'OCRMS Risk Map'!$A:$A,0)),0))</f>
        <v>0</v>
      </c>
      <c r="BZ1" s="21" t="n">
        <f aca="false">IF(BZ$3="",0,IFERROR(INDEX('OCRMS Risk Map'!$C:$C,MATCH(BZ$3,'OCRMS Risk Map'!$A:$A,0)),0))</f>
        <v>0</v>
      </c>
      <c r="CA1" s="21" t="n">
        <f aca="false">IF(CA$3="",0,IFERROR(INDEX('OCRMS Risk Map'!$C:$C,MATCH(CA$3,'OCRMS Risk Map'!$A:$A,0)),0))</f>
        <v>0</v>
      </c>
      <c r="CB1" s="21" t="n">
        <f aca="false">IF(CB$3="",0,IFERROR(INDEX('OCRMS Risk Map'!$C:$C,MATCH(CB$3,'OCRMS Risk Map'!$A:$A,0)),0))</f>
        <v>0</v>
      </c>
      <c r="CC1" s="21" t="n">
        <f aca="false">IF(CC$3="",0,IFERROR(INDEX('OCRMS Risk Map'!$C:$C,MATCH(CC$3,'OCRMS Risk Map'!$A:$A,0)),0))</f>
        <v>0</v>
      </c>
      <c r="CD1" s="21" t="n">
        <f aca="false">IF(CD$3="",0,IFERROR(INDEX('OCRMS Risk Map'!$C:$C,MATCH(CD$3,'OCRMS Risk Map'!$A:$A,0)),0))</f>
        <v>0</v>
      </c>
      <c r="CE1" s="21" t="n">
        <f aca="false">IF(CE$3="",0,IFERROR(INDEX('OCRMS Risk Map'!$C:$C,MATCH(CE$3,'OCRMS Risk Map'!$A:$A,0)),0))</f>
        <v>0</v>
      </c>
      <c r="CF1" s="21" t="n">
        <f aca="false">IF(CF$3="",0,IFERROR(INDEX('OCRMS Risk Map'!$C:$C,MATCH(CF$3,'OCRMS Risk Map'!$A:$A,0)),0))</f>
        <v>0</v>
      </c>
      <c r="CG1" s="21" t="n">
        <f aca="false">IF(CG$3="",0,IFERROR(INDEX('OCRMS Risk Map'!$C:$C,MATCH(CG$3,'OCRMS Risk Map'!$A:$A,0)),0))</f>
        <v>0</v>
      </c>
      <c r="CH1" s="21" t="n">
        <f aca="false">IF(CH$3="",0,IFERROR(INDEX('OCRMS Risk Map'!$C:$C,MATCH(CH$3,'OCRMS Risk Map'!$A:$A,0)),0))</f>
        <v>0</v>
      </c>
    </row>
    <row r="2" customFormat="false" ht="39.75" hidden="false" customHeight="true" outlineLevel="0" collapsed="false">
      <c r="A2" s="5" t="s">
        <v>260</v>
      </c>
      <c r="B2" s="21" t="str">
        <f aca="false">IF(B$3="","",IFERROR(INDEX('OCRMS Risk Map'!$B:$B,MATCH(B$3,'OCRMS Risk Map'!$A:$A,0)),""))</f>
        <v/>
      </c>
      <c r="C2" s="21" t="str">
        <f aca="false">IF(C$3="","",IFERROR(INDEX('OCRMS Risk Map'!$B:$B,MATCH(C$3,'OCRMS Risk Map'!$A:$A,0)),""))</f>
        <v/>
      </c>
      <c r="D2" s="21" t="str">
        <f aca="false">IF(D$3="","",IFERROR(INDEX('OCRMS Risk Map'!$B:$B,MATCH(D$3,'OCRMS Risk Map'!$A:$A,0)),""))</f>
        <v/>
      </c>
      <c r="E2" s="21" t="str">
        <f aca="false">IF(E$3="","",IFERROR(INDEX('OCRMS Risk Map'!$B:$B,MATCH(E$3,'OCRMS Risk Map'!$A:$A,0)),""))</f>
        <v/>
      </c>
      <c r="F2" s="21" t="str">
        <f aca="false">IF(F$3="","",IFERROR(INDEX('OCRMS Risk Map'!$B:$B,MATCH(F$3,'OCRMS Risk Map'!$A:$A,0)),""))</f>
        <v/>
      </c>
      <c r="G2" s="21" t="str">
        <f aca="false">IF(G$3="","",IFERROR(INDEX('OCRMS Risk Map'!$B:$B,MATCH(G$3,'OCRMS Risk Map'!$A:$A,0)),""))</f>
        <v/>
      </c>
      <c r="H2" s="21" t="str">
        <f aca="false">IF(H$3="","",IFERROR(INDEX('OCRMS Risk Map'!$B:$B,MATCH(H$3,'OCRMS Risk Map'!$A:$A,0)),""))</f>
        <v/>
      </c>
      <c r="I2" s="21" t="str">
        <f aca="false">IF(I$3="","",IFERROR(INDEX('OCRMS Risk Map'!$B:$B,MATCH(I$3,'OCRMS Risk Map'!$A:$A,0)),""))</f>
        <v/>
      </c>
      <c r="J2" s="21" t="str">
        <f aca="false">IF(J$3="","",IFERROR(INDEX('OCRMS Risk Map'!$B:$B,MATCH(J$3,'OCRMS Risk Map'!$A:$A,0)),""))</f>
        <v/>
      </c>
      <c r="K2" s="21" t="str">
        <f aca="false">IF(K$3="","",IFERROR(INDEX('OCRMS Risk Map'!$B:$B,MATCH(K$3,'OCRMS Risk Map'!$A:$A,0)),""))</f>
        <v/>
      </c>
      <c r="L2" s="21" t="str">
        <f aca="false">IF(L$3="","",IFERROR(INDEX('OCRMS Risk Map'!$B:$B,MATCH(L$3,'OCRMS Risk Map'!$A:$A,0)),""))</f>
        <v/>
      </c>
      <c r="M2" s="21" t="str">
        <f aca="false">IF(M$3="","",IFERROR(INDEX('OCRMS Risk Map'!$B:$B,MATCH(M$3,'OCRMS Risk Map'!$A:$A,0)),""))</f>
        <v/>
      </c>
      <c r="N2" s="21" t="str">
        <f aca="false">IF(N$3="","",IFERROR(INDEX('OCRMS Risk Map'!$B:$B,MATCH(N$3,'OCRMS Risk Map'!$A:$A,0)),""))</f>
        <v/>
      </c>
      <c r="O2" s="21" t="str">
        <f aca="false">IF(O$3="","",IFERROR(INDEX('OCRMS Risk Map'!$B:$B,MATCH(O$3,'OCRMS Risk Map'!$A:$A,0)),""))</f>
        <v/>
      </c>
      <c r="P2" s="21" t="str">
        <f aca="false">IF(P$3="","",IFERROR(INDEX('OCRMS Risk Map'!$B:$B,MATCH(P$3,'OCRMS Risk Map'!$A:$A,0)),""))</f>
        <v/>
      </c>
      <c r="Q2" s="21" t="str">
        <f aca="false">IF(Q$3="","",IFERROR(INDEX('OCRMS Risk Map'!$B:$B,MATCH(Q$3,'OCRMS Risk Map'!$A:$A,0)),""))</f>
        <v/>
      </c>
      <c r="R2" s="21" t="str">
        <f aca="false">IF(R$3="","",IFERROR(INDEX('OCRMS Risk Map'!$B:$B,MATCH(R$3,'OCRMS Risk Map'!$A:$A,0)),""))</f>
        <v/>
      </c>
      <c r="S2" s="21" t="str">
        <f aca="false">IF(S$3="","",IFERROR(INDEX('OCRMS Risk Map'!$B:$B,MATCH(S$3,'OCRMS Risk Map'!$A:$A,0)),""))</f>
        <v/>
      </c>
      <c r="T2" s="21" t="str">
        <f aca="false">IF(T$3="","",IFERROR(INDEX('OCRMS Risk Map'!$B:$B,MATCH(T$3,'OCRMS Risk Map'!$A:$A,0)),""))</f>
        <v/>
      </c>
      <c r="U2" s="21" t="str">
        <f aca="false">IF(U$3="","",IFERROR(INDEX('OCRMS Risk Map'!$B:$B,MATCH(U$3,'OCRMS Risk Map'!$A:$A,0)),""))</f>
        <v/>
      </c>
      <c r="V2" s="21" t="str">
        <f aca="false">IF(V$3="","",IFERROR(INDEX('OCRMS Risk Map'!$B:$B,MATCH(V$3,'OCRMS Risk Map'!$A:$A,0)),""))</f>
        <v/>
      </c>
      <c r="W2" s="21" t="str">
        <f aca="false">IF(W$3="","",IFERROR(INDEX('OCRMS Risk Map'!$B:$B,MATCH(W$3,'OCRMS Risk Map'!$A:$A,0)),""))</f>
        <v/>
      </c>
      <c r="X2" s="21" t="str">
        <f aca="false">IF(X$3="","",IFERROR(INDEX('OCRMS Risk Map'!$B:$B,MATCH(X$3,'OCRMS Risk Map'!$A:$A,0)),""))</f>
        <v/>
      </c>
      <c r="Y2" s="21" t="str">
        <f aca="false">IF(Y$3="","",IFERROR(INDEX('OCRMS Risk Map'!$B:$B,MATCH(Y$3,'OCRMS Risk Map'!$A:$A,0)),""))</f>
        <v/>
      </c>
      <c r="Z2" s="21" t="str">
        <f aca="false">IF(Z$3="","",IFERROR(INDEX('OCRMS Risk Map'!$B:$B,MATCH(Z$3,'OCRMS Risk Map'!$A:$A,0)),""))</f>
        <v/>
      </c>
      <c r="AA2" s="21" t="str">
        <f aca="false">IF(AA$3="","",IFERROR(INDEX('OCRMS Risk Map'!$B:$B,MATCH(AA$3,'OCRMS Risk Map'!$A:$A,0)),""))</f>
        <v/>
      </c>
      <c r="AB2" s="21" t="str">
        <f aca="false">IF(AB$3="","",IFERROR(INDEX('OCRMS Risk Map'!$B:$B,MATCH(AB$3,'OCRMS Risk Map'!$A:$A,0)),""))</f>
        <v/>
      </c>
      <c r="AC2" s="21" t="str">
        <f aca="false">IF(AC$3="","",IFERROR(INDEX('OCRMS Risk Map'!$B:$B,MATCH(AC$3,'OCRMS Risk Map'!$A:$A,0)),""))</f>
        <v/>
      </c>
      <c r="AD2" s="21" t="str">
        <f aca="false">IF(AD$3="","",IFERROR(INDEX('OCRMS Risk Map'!$B:$B,MATCH(AD$3,'OCRMS Risk Map'!$A:$A,0)),""))</f>
        <v/>
      </c>
      <c r="AE2" s="21" t="str">
        <f aca="false">IF(AE$3="","",IFERROR(INDEX('OCRMS Risk Map'!$B:$B,MATCH(AE$3,'OCRMS Risk Map'!$A:$A,0)),""))</f>
        <v/>
      </c>
      <c r="AF2" s="21" t="str">
        <f aca="false">IF(AF$3="","",IFERROR(INDEX('OCRMS Risk Map'!$B:$B,MATCH(AF$3,'OCRMS Risk Map'!$A:$A,0)),""))</f>
        <v/>
      </c>
      <c r="AG2" s="21" t="str">
        <f aca="false">IF(AG$3="","",IFERROR(INDEX('OCRMS Risk Map'!$B:$B,MATCH(AG$3,'OCRMS Risk Map'!$A:$A,0)),""))</f>
        <v/>
      </c>
      <c r="AH2" s="21" t="str">
        <f aca="false">IF(AH$3="","",IFERROR(INDEX('OCRMS Risk Map'!$B:$B,MATCH(AH$3,'OCRMS Risk Map'!$A:$A,0)),""))</f>
        <v/>
      </c>
      <c r="AI2" s="21" t="str">
        <f aca="false">IF(AI$3="","",IFERROR(INDEX('OCRMS Risk Map'!$B:$B,MATCH(AI$3,'OCRMS Risk Map'!$A:$A,0)),""))</f>
        <v/>
      </c>
      <c r="AJ2" s="21" t="str">
        <f aca="false">IF(AJ$3="","",IFERROR(INDEX('OCRMS Risk Map'!$B:$B,MATCH(AJ$3,'OCRMS Risk Map'!$A:$A,0)),""))</f>
        <v/>
      </c>
      <c r="AK2" s="21" t="str">
        <f aca="false">IF(AK$3="","",IFERROR(INDEX('OCRMS Risk Map'!$B:$B,MATCH(AK$3,'OCRMS Risk Map'!$A:$A,0)),""))</f>
        <v/>
      </c>
      <c r="AL2" s="21" t="str">
        <f aca="false">IF(AL$3="","",IFERROR(INDEX('OCRMS Risk Map'!$B:$B,MATCH(AL$3,'OCRMS Risk Map'!$A:$A,0)),""))</f>
        <v/>
      </c>
      <c r="AM2" s="21" t="str">
        <f aca="false">IF(AM$3="","",IFERROR(INDEX('OCRMS Risk Map'!$B:$B,MATCH(AM$3,'OCRMS Risk Map'!$A:$A,0)),""))</f>
        <v/>
      </c>
      <c r="AN2" s="21" t="str">
        <f aca="false">IF(AN$3="","",IFERROR(INDEX('OCRMS Risk Map'!$B:$B,MATCH(AN$3,'OCRMS Risk Map'!$A:$A,0)),""))</f>
        <v/>
      </c>
      <c r="AO2" s="21" t="str">
        <f aca="false">IF(AO$3="","",IFERROR(INDEX('OCRMS Risk Map'!$B:$B,MATCH(AO$3,'OCRMS Risk Map'!$A:$A,0)),""))</f>
        <v/>
      </c>
      <c r="AP2" s="21" t="str">
        <f aca="false">IF(AP$3="","",IFERROR(INDEX('OCRMS Risk Map'!$B:$B,MATCH(AP$3,'OCRMS Risk Map'!$A:$A,0)),""))</f>
        <v/>
      </c>
      <c r="AQ2" s="21" t="str">
        <f aca="false">IF(AQ$3="","",IFERROR(INDEX('OCRMS Risk Map'!$B:$B,MATCH(AQ$3,'OCRMS Risk Map'!$A:$A,0)),""))</f>
        <v/>
      </c>
      <c r="AR2" s="21" t="str">
        <f aca="false">IF(AR$3="","",IFERROR(INDEX('OCRMS Risk Map'!$B:$B,MATCH(AR$3,'OCRMS Risk Map'!$A:$A,0)),""))</f>
        <v/>
      </c>
      <c r="AS2" s="21" t="str">
        <f aca="false">IF(AS$3="","",IFERROR(INDEX('OCRMS Risk Map'!$B:$B,MATCH(AS$3,'OCRMS Risk Map'!$A:$A,0)),""))</f>
        <v/>
      </c>
      <c r="AT2" s="21" t="str">
        <f aca="false">IF(AT$3="","",IFERROR(INDEX('OCRMS Risk Map'!$B:$B,MATCH(AT$3,'OCRMS Risk Map'!$A:$A,0)),""))</f>
        <v/>
      </c>
      <c r="AU2" s="21" t="str">
        <f aca="false">IF(AU$3="","",IFERROR(INDEX('OCRMS Risk Map'!$B:$B,MATCH(AU$3,'OCRMS Risk Map'!$A:$A,0)),""))</f>
        <v/>
      </c>
      <c r="AV2" s="21" t="str">
        <f aca="false">IF(AV$3="","",IFERROR(INDEX('OCRMS Risk Map'!$B:$B,MATCH(AV$3,'OCRMS Risk Map'!$A:$A,0)),""))</f>
        <v/>
      </c>
      <c r="AW2" s="21" t="str">
        <f aca="false">IF(AW$3="","",IFERROR(INDEX('OCRMS Risk Map'!$B:$B,MATCH(AW$3,'OCRMS Risk Map'!$A:$A,0)),""))</f>
        <v/>
      </c>
      <c r="AX2" s="21" t="str">
        <f aca="false">IF(AX$3="","",IFERROR(INDEX('OCRMS Risk Map'!$B:$B,MATCH(AX$3,'OCRMS Risk Map'!$A:$A,0)),""))</f>
        <v/>
      </c>
      <c r="AY2" s="21" t="str">
        <f aca="false">IF(AY$3="","",IFERROR(INDEX('OCRMS Risk Map'!$B:$B,MATCH(AY$3,'OCRMS Risk Map'!$A:$A,0)),""))</f>
        <v/>
      </c>
      <c r="AZ2" s="21" t="str">
        <f aca="false">IF(AZ$3="","",IFERROR(INDEX('OCRMS Risk Map'!$B:$B,MATCH(AZ$3,'OCRMS Risk Map'!$A:$A,0)),""))</f>
        <v/>
      </c>
      <c r="BA2" s="21" t="str">
        <f aca="false">IF(BA$3="","",IFERROR(INDEX('OCRMS Risk Map'!$B:$B,MATCH(BA$3,'OCRMS Risk Map'!$A:$A,0)),""))</f>
        <v/>
      </c>
      <c r="BB2" s="21" t="str">
        <f aca="false">IF(BB$3="","",IFERROR(INDEX('OCRMS Risk Map'!$B:$B,MATCH(BB$3,'OCRMS Risk Map'!$A:$A,0)),""))</f>
        <v/>
      </c>
      <c r="BC2" s="21" t="str">
        <f aca="false">IF(BC$3="","",IFERROR(INDEX('OCRMS Risk Map'!$B:$B,MATCH(BC$3,'OCRMS Risk Map'!$A:$A,0)),""))</f>
        <v/>
      </c>
      <c r="BD2" s="21" t="str">
        <f aca="false">IF(BD$3="","",IFERROR(INDEX('OCRMS Risk Map'!$B:$B,MATCH(BD$3,'OCRMS Risk Map'!$A:$A,0)),""))</f>
        <v/>
      </c>
      <c r="BE2" s="21" t="str">
        <f aca="false">IF(BE$3="","",IFERROR(INDEX('OCRMS Risk Map'!$B:$B,MATCH(BE$3,'OCRMS Risk Map'!$A:$A,0)),""))</f>
        <v/>
      </c>
      <c r="BF2" s="21" t="str">
        <f aca="false">IF(BF$3="","",IFERROR(INDEX('OCRMS Risk Map'!$B:$B,MATCH(BF$3,'OCRMS Risk Map'!$A:$A,0)),""))</f>
        <v/>
      </c>
      <c r="BG2" s="21" t="str">
        <f aca="false">IF(BG$3="","",IFERROR(INDEX('OCRMS Risk Map'!$B:$B,MATCH(BG$3,'OCRMS Risk Map'!$A:$A,0)),""))</f>
        <v/>
      </c>
      <c r="BH2" s="21" t="str">
        <f aca="false">IF(BH$3="","",IFERROR(INDEX('OCRMS Risk Map'!$B:$B,MATCH(BH$3,'OCRMS Risk Map'!$A:$A,0)),""))</f>
        <v/>
      </c>
      <c r="BI2" s="21" t="str">
        <f aca="false">IF(BI$3="","",IFERROR(INDEX('OCRMS Risk Map'!$B:$B,MATCH(BI$3,'OCRMS Risk Map'!$A:$A,0)),""))</f>
        <v/>
      </c>
      <c r="BJ2" s="21" t="str">
        <f aca="false">IF(BJ$3="","",IFERROR(INDEX('OCRMS Risk Map'!$B:$B,MATCH(BJ$3,'OCRMS Risk Map'!$A:$A,0)),""))</f>
        <v/>
      </c>
      <c r="BK2" s="21" t="str">
        <f aca="false">IF(BK$3="","",IFERROR(INDEX('OCRMS Risk Map'!$B:$B,MATCH(BK$3,'OCRMS Risk Map'!$A:$A,0)),""))</f>
        <v/>
      </c>
      <c r="BL2" s="21" t="str">
        <f aca="false">IF(BL$3="","",IFERROR(INDEX('OCRMS Risk Map'!$B:$B,MATCH(BL$3,'OCRMS Risk Map'!$A:$A,0)),""))</f>
        <v/>
      </c>
      <c r="BM2" s="21" t="str">
        <f aca="false">IF(BM$3="","",IFERROR(INDEX('OCRMS Risk Map'!$B:$B,MATCH(BM$3,'OCRMS Risk Map'!$A:$A,0)),""))</f>
        <v/>
      </c>
      <c r="BN2" s="21" t="str">
        <f aca="false">IF(BN$3="","",IFERROR(INDEX('OCRMS Risk Map'!$B:$B,MATCH(BN$3,'OCRMS Risk Map'!$A:$A,0)),""))</f>
        <v/>
      </c>
      <c r="BO2" s="21" t="str">
        <f aca="false">IF(BO$3="","",IFERROR(INDEX('OCRMS Risk Map'!$B:$B,MATCH(BO$3,'OCRMS Risk Map'!$A:$A,0)),""))</f>
        <v/>
      </c>
      <c r="BP2" s="21" t="str">
        <f aca="false">IF(BP$3="","",IFERROR(INDEX('OCRMS Risk Map'!$B:$B,MATCH(BP$3,'OCRMS Risk Map'!$A:$A,0)),""))</f>
        <v/>
      </c>
      <c r="BQ2" s="21" t="str">
        <f aca="false">IF(BQ$3="","",IFERROR(INDEX('OCRMS Risk Map'!$B:$B,MATCH(BQ$3,'OCRMS Risk Map'!$A:$A,0)),""))</f>
        <v/>
      </c>
      <c r="BR2" s="21" t="str">
        <f aca="false">IF(BR$3="","",IFERROR(INDEX('OCRMS Risk Map'!$B:$B,MATCH(BR$3,'OCRMS Risk Map'!$A:$A,0)),""))</f>
        <v/>
      </c>
      <c r="BS2" s="21" t="str">
        <f aca="false">IF(BS$3="","",IFERROR(INDEX('OCRMS Risk Map'!$B:$B,MATCH(BS$3,'OCRMS Risk Map'!$A:$A,0)),""))</f>
        <v/>
      </c>
      <c r="BT2" s="21" t="str">
        <f aca="false">IF(BT$3="","",IFERROR(INDEX('OCRMS Risk Map'!$B:$B,MATCH(BT$3,'OCRMS Risk Map'!$A:$A,0)),""))</f>
        <v/>
      </c>
      <c r="BU2" s="21" t="str">
        <f aca="false">IF(BU$3="","",IFERROR(INDEX('OCRMS Risk Map'!$B:$B,MATCH(BU$3,'OCRMS Risk Map'!$A:$A,0)),""))</f>
        <v/>
      </c>
      <c r="BV2" s="21" t="str">
        <f aca="false">IF(BV$3="","",IFERROR(INDEX('OCRMS Risk Map'!$B:$B,MATCH(BV$3,'OCRMS Risk Map'!$A:$A,0)),""))</f>
        <v/>
      </c>
      <c r="BW2" s="21" t="str">
        <f aca="false">IF(BW$3="","",IFERROR(INDEX('OCRMS Risk Map'!$B:$B,MATCH(BW$3,'OCRMS Risk Map'!$A:$A,0)),""))</f>
        <v/>
      </c>
      <c r="BX2" s="21" t="str">
        <f aca="false">IF(BX$3="","",IFERROR(INDEX('OCRMS Risk Map'!$B:$B,MATCH(BX$3,'OCRMS Risk Map'!$A:$A,0)),""))</f>
        <v/>
      </c>
      <c r="BY2" s="21" t="str">
        <f aca="false">IF(BY$3="","",IFERROR(INDEX('OCRMS Risk Map'!$B:$B,MATCH(BY$3,'OCRMS Risk Map'!$A:$A,0)),""))</f>
        <v/>
      </c>
      <c r="BZ2" s="21" t="str">
        <f aca="false">IF(BZ$3="","",IFERROR(INDEX('OCRMS Risk Map'!$B:$B,MATCH(BZ$3,'OCRMS Risk Map'!$A:$A,0)),""))</f>
        <v/>
      </c>
      <c r="CA2" s="21" t="str">
        <f aca="false">IF(CA$3="","",IFERROR(INDEX('OCRMS Risk Map'!$B:$B,MATCH(CA$3,'OCRMS Risk Map'!$A:$A,0)),""))</f>
        <v/>
      </c>
      <c r="CB2" s="21" t="str">
        <f aca="false">IF(CB$3="","",IFERROR(INDEX('OCRMS Risk Map'!$B:$B,MATCH(CB$3,'OCRMS Risk Map'!$A:$A,0)),""))</f>
        <v/>
      </c>
      <c r="CC2" s="21" t="str">
        <f aca="false">IF(CC$3="","",IFERROR(INDEX('OCRMS Risk Map'!$B:$B,MATCH(CC$3,'OCRMS Risk Map'!$A:$A,0)),""))</f>
        <v/>
      </c>
      <c r="CD2" s="21" t="str">
        <f aca="false">IF(CD$3="","",IFERROR(INDEX('OCRMS Risk Map'!$B:$B,MATCH(CD$3,'OCRMS Risk Map'!$A:$A,0)),""))</f>
        <v/>
      </c>
      <c r="CE2" s="21" t="str">
        <f aca="false">IF(CE$3="","",IFERROR(INDEX('OCRMS Risk Map'!$B:$B,MATCH(CE$3,'OCRMS Risk Map'!$A:$A,0)),""))</f>
        <v/>
      </c>
      <c r="CF2" s="21" t="str">
        <f aca="false">IF(CF$3="","",IFERROR(INDEX('OCRMS Risk Map'!$B:$B,MATCH(CF$3,'OCRMS Risk Map'!$A:$A,0)),""))</f>
        <v/>
      </c>
      <c r="CG2" s="21" t="str">
        <f aca="false">IF(CG$3="","",IFERROR(INDEX('OCRMS Risk Map'!$B:$B,MATCH(CG$3,'OCRMS Risk Map'!$A:$A,0)),""))</f>
        <v/>
      </c>
      <c r="CH2" s="21" t="str">
        <f aca="false">IF(CH$3="","",IFERROR(INDEX('OCRMS Risk Map'!$B:$B,MATCH(CH$3,'OCRMS Risk Map'!$A:$A,0)),""))</f>
        <v/>
      </c>
    </row>
    <row r="3" customFormat="false" ht="15" hidden="false" customHeight="false" outlineLevel="0" collapsed="false">
      <c r="A3" s="22" t="s">
        <v>261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J3" s="18" t="s">
        <v>262</v>
      </c>
    </row>
    <row r="4" customFormat="false" ht="15" hidden="false" customHeight="false" outlineLevel="0" collapsed="false">
      <c r="CJ4" s="21" t="str">
        <f aca="false">IF(OR($A4="",LOWER(TRIM($A4))="grand total"),"",IF(SUMPRODUCT(($B4:$CH4&gt;0)*($B$2:$CH$2="H"))&gt;0,1,0))</f>
        <v/>
      </c>
    </row>
    <row r="5" customFormat="false" ht="15" hidden="false" customHeight="false" outlineLevel="0" collapsed="false">
      <c r="CJ5" s="21" t="str">
        <f aca="false">IF(OR($A5="",LOWER(TRIM($A5))="grand total"),"",IF(SUMPRODUCT(($B5:$CH5&gt;0)*($B$2:$CH$2="H"))&gt;0,1,0))</f>
        <v/>
      </c>
    </row>
    <row r="6" customFormat="false" ht="15" hidden="false" customHeight="false" outlineLevel="0" collapsed="false">
      <c r="CJ6" s="21" t="str">
        <f aca="false">IF(OR($A6="",LOWER(TRIM($A6))="grand total"),"",IF(SUMPRODUCT(($B6:$CH6&gt;0)*($B$2:$CH$2="H"))&gt;0,1,0))</f>
        <v/>
      </c>
    </row>
    <row r="7" customFormat="false" ht="15" hidden="false" customHeight="false" outlineLevel="0" collapsed="false">
      <c r="CJ7" s="21" t="str">
        <f aca="false">IF(OR($A7="",LOWER(TRIM($A7))="grand total"),"",IF(SUMPRODUCT(($B7:$CH7&gt;0)*($B$2:$CH$2="H"))&gt;0,1,0))</f>
        <v/>
      </c>
    </row>
    <row r="8" customFormat="false" ht="15" hidden="false" customHeight="false" outlineLevel="0" collapsed="false">
      <c r="CJ8" s="21" t="str">
        <f aca="false">IF(OR($A8="",LOWER(TRIM($A8))="grand total"),"",IF(SUMPRODUCT(($B8:$CH8&gt;0)*($B$2:$CH$2="H"))&gt;0,1,0))</f>
        <v/>
      </c>
    </row>
    <row r="9" customFormat="false" ht="15" hidden="false" customHeight="false" outlineLevel="0" collapsed="false">
      <c r="CJ9" s="21" t="str">
        <f aca="false">IF(OR($A9="",LOWER(TRIM($A9))="grand total"),"",IF(SUMPRODUCT(($B9:$CH9&gt;0)*($B$2:$CH$2="H"))&gt;0,1,0))</f>
        <v/>
      </c>
    </row>
    <row r="10" customFormat="false" ht="15" hidden="false" customHeight="false" outlineLevel="0" collapsed="false">
      <c r="CJ10" s="21" t="str">
        <f aca="false">IF(OR($A10="",LOWER(TRIM($A10))="grand total"),"",IF(SUMPRODUCT(($B10:$CH10&gt;0)*($B$2:$CH$2="H"))&gt;0,1,0))</f>
        <v/>
      </c>
    </row>
    <row r="11" customFormat="false" ht="15" hidden="false" customHeight="false" outlineLevel="0" collapsed="false">
      <c r="CJ11" s="21" t="str">
        <f aca="false">IF(OR($A11="",LOWER(TRIM($A11))="grand total"),"",IF(SUMPRODUCT(($B11:$CH11&gt;0)*($B$2:$CH$2="H"))&gt;0,1,0))</f>
        <v/>
      </c>
    </row>
    <row r="12" customFormat="false" ht="15" hidden="false" customHeight="false" outlineLevel="0" collapsed="false">
      <c r="CJ12" s="21" t="str">
        <f aca="false">IF(OR($A12="",LOWER(TRIM($A12))="grand total"),"",IF(SUMPRODUCT(($B12:$CH12&gt;0)*($B$2:$CH$2="H"))&gt;0,1,0))</f>
        <v/>
      </c>
    </row>
    <row r="13" customFormat="false" ht="15" hidden="false" customHeight="false" outlineLevel="0" collapsed="false">
      <c r="CJ13" s="21" t="str">
        <f aca="false">IF(OR($A13="",LOWER(TRIM($A13))="grand total"),"",IF(SUMPRODUCT(($B13:$CH13&gt;0)*($B$2:$CH$2="H"))&gt;0,1,0))</f>
        <v/>
      </c>
    </row>
    <row r="14" customFormat="false" ht="15" hidden="false" customHeight="false" outlineLevel="0" collapsed="false">
      <c r="CJ14" s="21" t="str">
        <f aca="false">IF(OR($A14="",LOWER(TRIM($A14))="grand total"),"",IF(SUMPRODUCT(($B14:$CH14&gt;0)*($B$2:$CH$2="H"))&gt;0,1,0))</f>
        <v/>
      </c>
    </row>
    <row r="15" customFormat="false" ht="15" hidden="false" customHeight="false" outlineLevel="0" collapsed="false">
      <c r="CJ15" s="21" t="str">
        <f aca="false">IF(OR($A15="",LOWER(TRIM($A15))="grand total"),"",IF(SUMPRODUCT(($B15:$CH15&gt;0)*($B$2:$CH$2="H"))&gt;0,1,0))</f>
        <v/>
      </c>
    </row>
    <row r="16" customFormat="false" ht="15" hidden="false" customHeight="false" outlineLevel="0" collapsed="false">
      <c r="CJ16" s="21" t="str">
        <f aca="false">IF(OR($A16="",LOWER(TRIM($A16))="grand total"),"",IF(SUMPRODUCT(($B16:$CH16&gt;0)*($B$2:$CH$2="H"))&gt;0,1,0))</f>
        <v/>
      </c>
    </row>
    <row r="17" customFormat="false" ht="15" hidden="false" customHeight="false" outlineLevel="0" collapsed="false">
      <c r="CJ17" s="21" t="str">
        <f aca="false">IF(OR($A17="",LOWER(TRIM($A17))="grand total"),"",IF(SUMPRODUCT(($B17:$CH17&gt;0)*($B$2:$CH$2="H"))&gt;0,1,0))</f>
        <v/>
      </c>
    </row>
    <row r="18" customFormat="false" ht="15" hidden="false" customHeight="false" outlineLevel="0" collapsed="false">
      <c r="CJ18" s="21" t="str">
        <f aca="false">IF(OR($A18="",LOWER(TRIM($A18))="grand total"),"",IF(SUMPRODUCT(($B18:$CH18&gt;0)*($B$2:$CH$2="H"))&gt;0,1,0))</f>
        <v/>
      </c>
    </row>
    <row r="19" customFormat="false" ht="15" hidden="false" customHeight="false" outlineLevel="0" collapsed="false">
      <c r="CJ19" s="21" t="str">
        <f aca="false">IF(OR($A19="",LOWER(TRIM($A19))="grand total"),"",IF(SUMPRODUCT(($B19:$CH19&gt;0)*($B$2:$CH$2="H"))&gt;0,1,0))</f>
        <v/>
      </c>
    </row>
    <row r="20" customFormat="false" ht="15" hidden="false" customHeight="false" outlineLevel="0" collapsed="false">
      <c r="CJ20" s="21" t="str">
        <f aca="false">IF(OR($A20="",LOWER(TRIM($A20))="grand total"),"",IF(SUMPRODUCT(($B20:$CH20&gt;0)*($B$2:$CH$2="H"))&gt;0,1,0))</f>
        <v/>
      </c>
    </row>
    <row r="21" customFormat="false" ht="15" hidden="false" customHeight="false" outlineLevel="0" collapsed="false">
      <c r="CJ21" s="21" t="str">
        <f aca="false">IF(OR($A21="",LOWER(TRIM($A21))="grand total"),"",IF(SUMPRODUCT(($B21:$CH21&gt;0)*($B$2:$CH$2="H"))&gt;0,1,0))</f>
        <v/>
      </c>
    </row>
    <row r="22" customFormat="false" ht="15" hidden="false" customHeight="false" outlineLevel="0" collapsed="false">
      <c r="CJ22" s="21" t="str">
        <f aca="false">IF(OR($A22="",LOWER(TRIM($A22))="grand total"),"",IF(SUMPRODUCT(($B22:$CH22&gt;0)*($B$2:$CH$2="H"))&gt;0,1,0))</f>
        <v/>
      </c>
    </row>
    <row r="23" customFormat="false" ht="15" hidden="false" customHeight="false" outlineLevel="0" collapsed="false">
      <c r="CJ23" s="21" t="str">
        <f aca="false">IF(OR($A23="",LOWER(TRIM($A23))="grand total"),"",IF(SUMPRODUCT(($B23:$CH23&gt;0)*($B$2:$CH$2="H"))&gt;0,1,0))</f>
        <v/>
      </c>
    </row>
    <row r="24" customFormat="false" ht="15" hidden="false" customHeight="false" outlineLevel="0" collapsed="false">
      <c r="CJ24" s="21" t="str">
        <f aca="false">IF(OR($A24="",LOWER(TRIM($A24))="grand total"),"",IF(SUMPRODUCT(($B24:$CH24&gt;0)*($B$2:$CH$2="H"))&gt;0,1,0))</f>
        <v/>
      </c>
    </row>
    <row r="25" customFormat="false" ht="15" hidden="false" customHeight="false" outlineLevel="0" collapsed="false">
      <c r="CJ25" s="21" t="str">
        <f aca="false">IF(OR($A25="",LOWER(TRIM($A25))="grand total"),"",IF(SUMPRODUCT(($B25:$CH25&gt;0)*($B$2:$CH$2="H"))&gt;0,1,0))</f>
        <v/>
      </c>
    </row>
    <row r="26" customFormat="false" ht="15" hidden="false" customHeight="false" outlineLevel="0" collapsed="false">
      <c r="CJ26" s="21" t="str">
        <f aca="false">IF(OR($A26="",LOWER(TRIM($A26))="grand total"),"",IF(SUMPRODUCT(($B26:$CH26&gt;0)*($B$2:$CH$2="H"))&gt;0,1,0))</f>
        <v/>
      </c>
    </row>
    <row r="27" customFormat="false" ht="15" hidden="false" customHeight="false" outlineLevel="0" collapsed="false">
      <c r="CJ27" s="21" t="str">
        <f aca="false">IF(OR($A27="",LOWER(TRIM($A27))="grand total"),"",IF(SUMPRODUCT(($B27:$CH27&gt;0)*($B$2:$CH$2="H"))&gt;0,1,0))</f>
        <v/>
      </c>
    </row>
    <row r="28" customFormat="false" ht="15" hidden="false" customHeight="false" outlineLevel="0" collapsed="false">
      <c r="CJ28" s="21" t="str">
        <f aca="false">IF(OR($A28="",LOWER(TRIM($A28))="grand total"),"",IF(SUMPRODUCT(($B28:$CH28&gt;0)*($B$2:$CH$2="H"))&gt;0,1,0))</f>
        <v/>
      </c>
    </row>
    <row r="29" customFormat="false" ht="15" hidden="false" customHeight="false" outlineLevel="0" collapsed="false">
      <c r="CJ29" s="21" t="str">
        <f aca="false">IF(OR($A29="",LOWER(TRIM($A29))="grand total"),"",IF(SUMPRODUCT(($B29:$CH29&gt;0)*($B$2:$CH$2="H"))&gt;0,1,0))</f>
        <v/>
      </c>
    </row>
    <row r="30" customFormat="false" ht="15" hidden="false" customHeight="false" outlineLevel="0" collapsed="false">
      <c r="CJ30" s="21" t="str">
        <f aca="false">IF(OR($A30="",LOWER(TRIM($A30))="grand total"),"",IF(SUMPRODUCT(($B30:$CH30&gt;0)*($B$2:$CH$2="H"))&gt;0,1,0))</f>
        <v/>
      </c>
    </row>
    <row r="31" customFormat="false" ht="15" hidden="false" customHeight="false" outlineLevel="0" collapsed="false">
      <c r="CJ31" s="21" t="str">
        <f aca="false">IF(OR($A31="",LOWER(TRIM($A31))="grand total"),"",IF(SUMPRODUCT(($B31:$CH31&gt;0)*($B$2:$CH$2="H"))&gt;0,1,0))</f>
        <v/>
      </c>
    </row>
    <row r="32" customFormat="false" ht="15" hidden="false" customHeight="false" outlineLevel="0" collapsed="false">
      <c r="CJ32" s="21" t="str">
        <f aca="false">IF(OR($A32="",LOWER(TRIM($A32))="grand total"),"",IF(SUMPRODUCT(($B32:$CH32&gt;0)*($B$2:$CH$2="H"))&gt;0,1,0))</f>
        <v/>
      </c>
    </row>
    <row r="33" customFormat="false" ht="15" hidden="false" customHeight="false" outlineLevel="0" collapsed="false">
      <c r="CJ33" s="21" t="str">
        <f aca="false">IF(OR($A33="",LOWER(TRIM($A33))="grand total"),"",IF(SUMPRODUCT(($B33:$CH33&gt;0)*($B$2:$CH$2="H"))&gt;0,1,0))</f>
        <v/>
      </c>
    </row>
    <row r="34" customFormat="false" ht="15" hidden="false" customHeight="false" outlineLevel="0" collapsed="false">
      <c r="CJ34" s="21" t="str">
        <f aca="false">IF(OR($A34="",LOWER(TRIM($A34))="grand total"),"",IF(SUMPRODUCT(($B34:$CH34&gt;0)*($B$2:$CH$2="H"))&gt;0,1,0))</f>
        <v/>
      </c>
    </row>
    <row r="35" customFormat="false" ht="15" hidden="false" customHeight="false" outlineLevel="0" collapsed="false">
      <c r="CJ35" s="21" t="str">
        <f aca="false">IF(OR($A35="",LOWER(TRIM($A35))="grand total"),"",IF(SUMPRODUCT(($B35:$CH35&gt;0)*($B$2:$CH$2="H"))&gt;0,1,0))</f>
        <v/>
      </c>
    </row>
    <row r="36" customFormat="false" ht="15" hidden="false" customHeight="false" outlineLevel="0" collapsed="false">
      <c r="CJ36" s="21" t="str">
        <f aca="false">IF(OR($A36="",LOWER(TRIM($A36))="grand total"),"",IF(SUMPRODUCT(($B36:$CH36&gt;0)*($B$2:$CH$2="H"))&gt;0,1,0))</f>
        <v/>
      </c>
    </row>
    <row r="37" customFormat="false" ht="15" hidden="false" customHeight="false" outlineLevel="0" collapsed="false">
      <c r="CJ37" s="21" t="str">
        <f aca="false">IF(OR($A37="",LOWER(TRIM($A37))="grand total"),"",IF(SUMPRODUCT(($B37:$CH37&gt;0)*($B$2:$CH$2="H"))&gt;0,1,0))</f>
        <v/>
      </c>
    </row>
    <row r="38" customFormat="false" ht="15" hidden="false" customHeight="false" outlineLevel="0" collapsed="false">
      <c r="CJ38" s="21" t="str">
        <f aca="false">IF(OR($A38="",LOWER(TRIM($A38))="grand total"),"",IF(SUMPRODUCT(($B38:$CH38&gt;0)*($B$2:$CH$2="H"))&gt;0,1,0))</f>
        <v/>
      </c>
    </row>
    <row r="39" customFormat="false" ht="15" hidden="false" customHeight="false" outlineLevel="0" collapsed="false">
      <c r="CJ39" s="21" t="str">
        <f aca="false">IF(OR($A39="",LOWER(TRIM($A39))="grand total"),"",IF(SUMPRODUCT(($B39:$CH39&gt;0)*($B$2:$CH$2="H"))&gt;0,1,0))</f>
        <v/>
      </c>
    </row>
    <row r="40" customFormat="false" ht="15" hidden="false" customHeight="false" outlineLevel="0" collapsed="false">
      <c r="CJ40" s="21" t="str">
        <f aca="false">IF(OR($A40="",LOWER(TRIM($A40))="grand total"),"",IF(SUMPRODUCT(($B40:$CH40&gt;0)*($B$2:$CH$2="H"))&gt;0,1,0))</f>
        <v/>
      </c>
    </row>
    <row r="41" customFormat="false" ht="15" hidden="false" customHeight="false" outlineLevel="0" collapsed="false">
      <c r="CJ41" s="21" t="str">
        <f aca="false">IF(OR($A41="",LOWER(TRIM($A41))="grand total"),"",IF(SUMPRODUCT(($B41:$CH41&gt;0)*($B$2:$CH$2="H"))&gt;0,1,0))</f>
        <v/>
      </c>
    </row>
    <row r="42" customFormat="false" ht="15" hidden="false" customHeight="false" outlineLevel="0" collapsed="false">
      <c r="CJ42" s="21" t="str">
        <f aca="false">IF(OR($A42="",LOWER(TRIM($A42))="grand total"),"",IF(SUMPRODUCT(($B42:$CH42&gt;0)*($B$2:$CH$2="H"))&gt;0,1,0))</f>
        <v/>
      </c>
    </row>
    <row r="43" customFormat="false" ht="15" hidden="false" customHeight="false" outlineLevel="0" collapsed="false">
      <c r="CJ43" s="21" t="str">
        <f aca="false">IF(OR($A43="",LOWER(TRIM($A43))="grand total"),"",IF(SUMPRODUCT(($B43:$CH43&gt;0)*($B$2:$CH$2="H"))&gt;0,1,0))</f>
        <v/>
      </c>
    </row>
    <row r="44" customFormat="false" ht="15" hidden="false" customHeight="false" outlineLevel="0" collapsed="false">
      <c r="CJ44" s="21" t="str">
        <f aca="false">IF(OR($A44="",LOWER(TRIM($A44))="grand total"),"",IF(SUMPRODUCT(($B44:$CH44&gt;0)*($B$2:$CH$2="H"))&gt;0,1,0))</f>
        <v/>
      </c>
    </row>
    <row r="45" customFormat="false" ht="15" hidden="false" customHeight="false" outlineLevel="0" collapsed="false">
      <c r="CJ45" s="21" t="str">
        <f aca="false">IF(OR($A45="",LOWER(TRIM($A45))="grand total"),"",IF(SUMPRODUCT(($B45:$CH45&gt;0)*($B$2:$CH$2="H"))&gt;0,1,0))</f>
        <v/>
      </c>
    </row>
    <row r="46" customFormat="false" ht="15" hidden="false" customHeight="false" outlineLevel="0" collapsed="false">
      <c r="CJ46" s="21" t="str">
        <f aca="false">IF(OR($A46="",LOWER(TRIM($A46))="grand total"),"",IF(SUMPRODUCT(($B46:$CH46&gt;0)*($B$2:$CH$2="H"))&gt;0,1,0))</f>
        <v/>
      </c>
    </row>
    <row r="47" customFormat="false" ht="15" hidden="false" customHeight="false" outlineLevel="0" collapsed="false">
      <c r="CJ47" s="21" t="str">
        <f aca="false">IF(OR($A47="",LOWER(TRIM($A47))="grand total"),"",IF(SUMPRODUCT(($B47:$CH47&gt;0)*($B$2:$CH$2="H"))&gt;0,1,0))</f>
        <v/>
      </c>
    </row>
    <row r="48" customFormat="false" ht="15" hidden="false" customHeight="false" outlineLevel="0" collapsed="false">
      <c r="CJ48" s="21" t="str">
        <f aca="false">IF(OR($A48="",LOWER(TRIM($A48))="grand total"),"",IF(SUMPRODUCT(($B48:$CH48&gt;0)*($B$2:$CH$2="H"))&gt;0,1,0))</f>
        <v/>
      </c>
    </row>
    <row r="49" customFormat="false" ht="15" hidden="false" customHeight="false" outlineLevel="0" collapsed="false">
      <c r="CJ49" s="21" t="str">
        <f aca="false">IF(OR($A49="",LOWER(TRIM($A49))="grand total"),"",IF(SUMPRODUCT(($B49:$CH49&gt;0)*($B$2:$CH$2="H"))&gt;0,1,0))</f>
        <v/>
      </c>
    </row>
    <row r="50" customFormat="false" ht="15" hidden="false" customHeight="false" outlineLevel="0" collapsed="false">
      <c r="CJ50" s="21" t="str">
        <f aca="false">IF(OR($A50="",LOWER(TRIM($A50))="grand total"),"",IF(SUMPRODUCT(($B50:$CH50&gt;0)*($B$2:$CH$2="H"))&gt;0,1,0))</f>
        <v/>
      </c>
    </row>
    <row r="51" customFormat="false" ht="15" hidden="false" customHeight="false" outlineLevel="0" collapsed="false">
      <c r="CJ51" s="21" t="str">
        <f aca="false">IF(OR($A51="",LOWER(TRIM($A51))="grand total"),"",IF(SUMPRODUCT(($B51:$CH51&gt;0)*($B$2:$CH$2="H"))&gt;0,1,0))</f>
        <v/>
      </c>
    </row>
    <row r="52" customFormat="false" ht="15" hidden="false" customHeight="false" outlineLevel="0" collapsed="false">
      <c r="CJ52" s="21" t="str">
        <f aca="false">IF(OR($A52="",LOWER(TRIM($A52))="grand total"),"",IF(SUMPRODUCT(($B52:$CH52&gt;0)*($B$2:$CH$2="H"))&gt;0,1,0))</f>
        <v/>
      </c>
    </row>
    <row r="53" customFormat="false" ht="15" hidden="false" customHeight="false" outlineLevel="0" collapsed="false">
      <c r="CJ53" s="21" t="str">
        <f aca="false">IF(OR($A53="",LOWER(TRIM($A53))="grand total"),"",IF(SUMPRODUCT(($B53:$CH53&gt;0)*($B$2:$CH$2="H"))&gt;0,1,0))</f>
        <v/>
      </c>
    </row>
    <row r="54" customFormat="false" ht="15" hidden="false" customHeight="false" outlineLevel="0" collapsed="false">
      <c r="CJ54" s="21" t="str">
        <f aca="false">IF(OR($A54="",LOWER(TRIM($A54))="grand total"),"",IF(SUMPRODUCT(($B54:$CH54&gt;0)*($B$2:$CH$2="H"))&gt;0,1,0))</f>
        <v/>
      </c>
    </row>
    <row r="55" customFormat="false" ht="15" hidden="false" customHeight="false" outlineLevel="0" collapsed="false">
      <c r="CJ55" s="21" t="str">
        <f aca="false">IF(OR($A55="",LOWER(TRIM($A55))="grand total"),"",IF(SUMPRODUCT(($B55:$CH55&gt;0)*($B$2:$CH$2="H"))&gt;0,1,0))</f>
        <v/>
      </c>
    </row>
    <row r="56" customFormat="false" ht="15" hidden="false" customHeight="false" outlineLevel="0" collapsed="false">
      <c r="CJ56" s="21" t="str">
        <f aca="false">IF(OR($A56="",LOWER(TRIM($A56))="grand total"),"",IF(SUMPRODUCT(($B56:$CH56&gt;0)*($B$2:$CH$2="H"))&gt;0,1,0))</f>
        <v/>
      </c>
    </row>
    <row r="57" customFormat="false" ht="15" hidden="false" customHeight="false" outlineLevel="0" collapsed="false">
      <c r="CJ57" s="21" t="str">
        <f aca="false">IF(OR($A57="",LOWER(TRIM($A57))="grand total"),"",IF(SUMPRODUCT(($B57:$CH57&gt;0)*($B$2:$CH$2="H"))&gt;0,1,0))</f>
        <v/>
      </c>
    </row>
    <row r="58" customFormat="false" ht="15" hidden="false" customHeight="false" outlineLevel="0" collapsed="false">
      <c r="CJ58" s="21" t="str">
        <f aca="false">IF(OR($A58="",LOWER(TRIM($A58))="grand total"),"",IF(SUMPRODUCT(($B58:$CH58&gt;0)*($B$2:$CH$2="H"))&gt;0,1,0))</f>
        <v/>
      </c>
    </row>
    <row r="59" customFormat="false" ht="15" hidden="false" customHeight="false" outlineLevel="0" collapsed="false">
      <c r="CJ59" s="21" t="str">
        <f aca="false">IF(OR($A59="",LOWER(TRIM($A59))="grand total"),"",IF(SUMPRODUCT(($B59:$CH59&gt;0)*($B$2:$CH$2="H"))&gt;0,1,0))</f>
        <v/>
      </c>
    </row>
    <row r="60" customFormat="false" ht="15" hidden="false" customHeight="false" outlineLevel="0" collapsed="false">
      <c r="CJ60" s="21" t="str">
        <f aca="false">IF(OR($A60="",LOWER(TRIM($A60))="grand total"),"",IF(SUMPRODUCT(($B60:$CH60&gt;0)*($B$2:$CH$2="H"))&gt;0,1,0))</f>
        <v/>
      </c>
    </row>
    <row r="61" customFormat="false" ht="15" hidden="false" customHeight="false" outlineLevel="0" collapsed="false">
      <c r="CJ61" s="21" t="str">
        <f aca="false">IF(OR($A61="",LOWER(TRIM($A61))="grand total"),"",IF(SUMPRODUCT(($B61:$CH61&gt;0)*($B$2:$CH$2="H"))&gt;0,1,0))</f>
        <v/>
      </c>
    </row>
    <row r="62" customFormat="false" ht="15" hidden="false" customHeight="false" outlineLevel="0" collapsed="false">
      <c r="CJ62" s="21" t="str">
        <f aca="false">IF(OR($A62="",LOWER(TRIM($A62))="grand total"),"",IF(SUMPRODUCT(($B62:$CH62&gt;0)*($B$2:$CH$2="H"))&gt;0,1,0))</f>
        <v/>
      </c>
    </row>
    <row r="63" customFormat="false" ht="15" hidden="false" customHeight="false" outlineLevel="0" collapsed="false">
      <c r="CJ63" s="21" t="str">
        <f aca="false">IF(OR($A63="",LOWER(TRIM($A63))="grand total"),"",IF(SUMPRODUCT(($B63:$CH63&gt;0)*($B$2:$CH$2="H"))&gt;0,1,0))</f>
        <v/>
      </c>
    </row>
    <row r="64" customFormat="false" ht="15" hidden="false" customHeight="false" outlineLevel="0" collapsed="false">
      <c r="CJ64" s="21" t="str">
        <f aca="false">IF(OR($A64="",LOWER(TRIM($A64))="grand total"),"",IF(SUMPRODUCT(($B64:$CH64&gt;0)*($B$2:$CH$2="H"))&gt;0,1,0))</f>
        <v/>
      </c>
    </row>
    <row r="65" customFormat="false" ht="15" hidden="false" customHeight="false" outlineLevel="0" collapsed="false">
      <c r="CJ65" s="21" t="str">
        <f aca="false">IF(OR($A65="",LOWER(TRIM($A65))="grand total"),"",IF(SUMPRODUCT(($B65:$CH65&gt;0)*($B$2:$CH$2="H"))&gt;0,1,0))</f>
        <v/>
      </c>
    </row>
    <row r="66" customFormat="false" ht="15" hidden="false" customHeight="false" outlineLevel="0" collapsed="false">
      <c r="CJ66" s="21" t="str">
        <f aca="false">IF(OR($A66="",LOWER(TRIM($A66))="grand total"),"",IF(SUMPRODUCT(($B66:$CH66&gt;0)*($B$2:$CH$2="H"))&gt;0,1,0))</f>
        <v/>
      </c>
    </row>
    <row r="67" customFormat="false" ht="15" hidden="false" customHeight="false" outlineLevel="0" collapsed="false">
      <c r="CJ67" s="21" t="str">
        <f aca="false">IF(OR($A67="",LOWER(TRIM($A67))="grand total"),"",IF(SUMPRODUCT(($B67:$CH67&gt;0)*($B$2:$CH$2="H"))&gt;0,1,0))</f>
        <v/>
      </c>
    </row>
    <row r="68" customFormat="false" ht="15" hidden="false" customHeight="false" outlineLevel="0" collapsed="false">
      <c r="CJ68" s="21" t="str">
        <f aca="false">IF(OR($A68="",LOWER(TRIM($A68))="grand total"),"",IF(SUMPRODUCT(($B68:$CH68&gt;0)*($B$2:$CH$2="H"))&gt;0,1,0))</f>
        <v/>
      </c>
    </row>
    <row r="69" customFormat="false" ht="15" hidden="false" customHeight="false" outlineLevel="0" collapsed="false">
      <c r="CJ69" s="21" t="str">
        <f aca="false">IF(OR($A69="",LOWER(TRIM($A69))="grand total"),"",IF(SUMPRODUCT(($B69:$CH69&gt;0)*($B$2:$CH$2="H"))&gt;0,1,0))</f>
        <v/>
      </c>
    </row>
    <row r="70" customFormat="false" ht="15" hidden="false" customHeight="false" outlineLevel="0" collapsed="false">
      <c r="CJ70" s="21" t="str">
        <f aca="false">IF(OR($A70="",LOWER(TRIM($A70))="grand total"),"",IF(SUMPRODUCT(($B70:$CH70&gt;0)*($B$2:$CH$2="H"))&gt;0,1,0))</f>
        <v/>
      </c>
    </row>
    <row r="71" customFormat="false" ht="15" hidden="false" customHeight="false" outlineLevel="0" collapsed="false">
      <c r="CJ71" s="21" t="str">
        <f aca="false">IF(OR($A71="",LOWER(TRIM($A71))="grand total"),"",IF(SUMPRODUCT(($B71:$CH71&gt;0)*($B$2:$CH$2="H"))&gt;0,1,0))</f>
        <v/>
      </c>
    </row>
    <row r="72" customFormat="false" ht="15" hidden="false" customHeight="false" outlineLevel="0" collapsed="false">
      <c r="CJ72" s="21" t="str">
        <f aca="false">IF(OR($A72="",LOWER(TRIM($A72))="grand total"),"",IF(SUMPRODUCT(($B72:$CH72&gt;0)*($B$2:$CH$2="H"))&gt;0,1,0))</f>
        <v/>
      </c>
    </row>
    <row r="73" customFormat="false" ht="15" hidden="false" customHeight="false" outlineLevel="0" collapsed="false">
      <c r="CJ73" s="21" t="str">
        <f aca="false">IF(OR($A73="",LOWER(TRIM($A73))="grand total"),"",IF(SUMPRODUCT(($B73:$CH73&gt;0)*($B$2:$CH$2="H"))&gt;0,1,0))</f>
        <v/>
      </c>
    </row>
    <row r="74" customFormat="false" ht="15" hidden="false" customHeight="false" outlineLevel="0" collapsed="false">
      <c r="CJ74" s="21" t="str">
        <f aca="false">IF(OR($A74="",LOWER(TRIM($A74))="grand total"),"",IF(SUMPRODUCT(($B74:$CH74&gt;0)*($B$2:$CH$2="H"))&gt;0,1,0))</f>
        <v/>
      </c>
    </row>
    <row r="75" customFormat="false" ht="15" hidden="false" customHeight="false" outlineLevel="0" collapsed="false">
      <c r="CJ75" s="21" t="str">
        <f aca="false">IF(OR($A75="",LOWER(TRIM($A75))="grand total"),"",IF(SUMPRODUCT(($B75:$CH75&gt;0)*($B$2:$CH$2="H"))&gt;0,1,0))</f>
        <v/>
      </c>
    </row>
    <row r="76" customFormat="false" ht="15" hidden="false" customHeight="false" outlineLevel="0" collapsed="false">
      <c r="CJ76" s="21" t="str">
        <f aca="false">IF(OR($A76="",LOWER(TRIM($A76))="grand total"),"",IF(SUMPRODUCT(($B76:$CH76&gt;0)*($B$2:$CH$2="H"))&gt;0,1,0))</f>
        <v/>
      </c>
    </row>
    <row r="77" customFormat="false" ht="15" hidden="false" customHeight="false" outlineLevel="0" collapsed="false">
      <c r="CJ77" s="21" t="str">
        <f aca="false">IF(OR($A77="",LOWER(TRIM($A77))="grand total"),"",IF(SUMPRODUCT(($B77:$CH77&gt;0)*($B$2:$CH$2="H"))&gt;0,1,0))</f>
        <v/>
      </c>
    </row>
    <row r="78" customFormat="false" ht="15" hidden="false" customHeight="false" outlineLevel="0" collapsed="false">
      <c r="CJ78" s="21" t="str">
        <f aca="false">IF(OR($A78="",LOWER(TRIM($A78))="grand total"),"",IF(SUMPRODUCT(($B78:$CH78&gt;0)*($B$2:$CH$2="H"))&gt;0,1,0))</f>
        <v/>
      </c>
    </row>
    <row r="79" customFormat="false" ht="15" hidden="false" customHeight="false" outlineLevel="0" collapsed="false">
      <c r="CJ79" s="21" t="str">
        <f aca="false">IF(OR($A79="",LOWER(TRIM($A79))="grand total"),"",IF(SUMPRODUCT(($B79:$CH79&gt;0)*($B$2:$CH$2="H"))&gt;0,1,0))</f>
        <v/>
      </c>
    </row>
    <row r="80" customFormat="false" ht="15" hidden="false" customHeight="false" outlineLevel="0" collapsed="false">
      <c r="CJ80" s="21" t="str">
        <f aca="false">IF(OR($A80="",LOWER(TRIM($A80))="grand total"),"",IF(SUMPRODUCT(($B80:$CH80&gt;0)*($B$2:$CH$2="H"))&gt;0,1,0))</f>
        <v/>
      </c>
    </row>
    <row r="81" customFormat="false" ht="15" hidden="false" customHeight="false" outlineLevel="0" collapsed="false">
      <c r="CJ81" s="21" t="str">
        <f aca="false">IF(OR($A81="",LOWER(TRIM($A81))="grand total"),"",IF(SUMPRODUCT(($B81:$CH81&gt;0)*($B$2:$CH$2="H"))&gt;0,1,0))</f>
        <v/>
      </c>
    </row>
    <row r="82" customFormat="false" ht="15" hidden="false" customHeight="false" outlineLevel="0" collapsed="false">
      <c r="CJ82" s="21" t="str">
        <f aca="false">IF(OR($A82="",LOWER(TRIM($A82))="grand total"),"",IF(SUMPRODUCT(($B82:$CH82&gt;0)*($B$2:$CH$2="H"))&gt;0,1,0))</f>
        <v/>
      </c>
    </row>
    <row r="83" customFormat="false" ht="15" hidden="false" customHeight="false" outlineLevel="0" collapsed="false">
      <c r="CJ83" s="21" t="str">
        <f aca="false">IF(OR($A83="",LOWER(TRIM($A83))="grand total"),"",IF(SUMPRODUCT(($B83:$CH83&gt;0)*($B$2:$CH$2="H"))&gt;0,1,0))</f>
        <v/>
      </c>
    </row>
    <row r="84" customFormat="false" ht="15" hidden="false" customHeight="false" outlineLevel="0" collapsed="false">
      <c r="CJ84" s="21" t="str">
        <f aca="false">IF(OR($A84="",LOWER(TRIM($A84))="grand total"),"",IF(SUMPRODUCT(($B84:$CH84&gt;0)*($B$2:$CH$2="H"))&gt;0,1,0))</f>
        <v/>
      </c>
    </row>
    <row r="85" customFormat="false" ht="15" hidden="false" customHeight="false" outlineLevel="0" collapsed="false">
      <c r="CJ85" s="21" t="str">
        <f aca="false">IF(OR($A85="",LOWER(TRIM($A85))="grand total"),"",IF(SUMPRODUCT(($B85:$CH85&gt;0)*($B$2:$CH$2="H"))&gt;0,1,0))</f>
        <v/>
      </c>
    </row>
    <row r="86" customFormat="false" ht="15" hidden="false" customHeight="false" outlineLevel="0" collapsed="false">
      <c r="CJ86" s="21" t="str">
        <f aca="false">IF(OR($A86="",LOWER(TRIM($A86))="grand total"),"",IF(SUMPRODUCT(($B86:$CH86&gt;0)*($B$2:$CH$2="H"))&gt;0,1,0))</f>
        <v/>
      </c>
    </row>
    <row r="87" customFormat="false" ht="15" hidden="false" customHeight="false" outlineLevel="0" collapsed="false">
      <c r="CJ87" s="21" t="str">
        <f aca="false">IF(OR($A87="",LOWER(TRIM($A87))="grand total"),"",IF(SUMPRODUCT(($B87:$CH87&gt;0)*($B$2:$CH$2="H"))&gt;0,1,0))</f>
        <v/>
      </c>
    </row>
    <row r="88" customFormat="false" ht="15" hidden="false" customHeight="false" outlineLevel="0" collapsed="false">
      <c r="CJ88" s="21" t="str">
        <f aca="false">IF(OR($A88="",LOWER(TRIM($A88))="grand total"),"",IF(SUMPRODUCT(($B88:$CH88&gt;0)*($B$2:$CH$2="H"))&gt;0,1,0))</f>
        <v/>
      </c>
    </row>
    <row r="89" customFormat="false" ht="15" hidden="false" customHeight="false" outlineLevel="0" collapsed="false">
      <c r="CJ89" s="21" t="str">
        <f aca="false">IF(OR($A89="",LOWER(TRIM($A89))="grand total"),"",IF(SUMPRODUCT(($B89:$CH89&gt;0)*($B$2:$CH$2="H"))&gt;0,1,0))</f>
        <v/>
      </c>
    </row>
    <row r="90" customFormat="false" ht="15" hidden="false" customHeight="false" outlineLevel="0" collapsed="false">
      <c r="CJ90" s="21" t="str">
        <f aca="false">IF(OR($A90="",LOWER(TRIM($A90))="grand total"),"",IF(SUMPRODUCT(($B90:$CH90&gt;0)*($B$2:$CH$2="H"))&gt;0,1,0))</f>
        <v/>
      </c>
    </row>
    <row r="91" customFormat="false" ht="15" hidden="false" customHeight="false" outlineLevel="0" collapsed="false">
      <c r="CJ91" s="21" t="str">
        <f aca="false">IF(OR($A91="",LOWER(TRIM($A91))="grand total"),"",IF(SUMPRODUCT(($B91:$CH91&gt;0)*($B$2:$CH$2="H"))&gt;0,1,0))</f>
        <v/>
      </c>
    </row>
    <row r="92" customFormat="false" ht="15" hidden="false" customHeight="false" outlineLevel="0" collapsed="false">
      <c r="CJ92" s="21" t="str">
        <f aca="false">IF(OR($A92="",LOWER(TRIM($A92))="grand total"),"",IF(SUMPRODUCT(($B92:$CH92&gt;0)*($B$2:$CH$2="H"))&gt;0,1,0))</f>
        <v/>
      </c>
    </row>
    <row r="93" customFormat="false" ht="15" hidden="false" customHeight="false" outlineLevel="0" collapsed="false">
      <c r="CJ93" s="21" t="str">
        <f aca="false">IF(OR($A93="",LOWER(TRIM($A93))="grand total"),"",IF(SUMPRODUCT(($B93:$CH93&gt;0)*($B$2:$CH$2="H"))&gt;0,1,0))</f>
        <v/>
      </c>
    </row>
    <row r="94" customFormat="false" ht="15" hidden="false" customHeight="false" outlineLevel="0" collapsed="false">
      <c r="CJ94" s="21" t="str">
        <f aca="false">IF(OR($A94="",LOWER(TRIM($A94))="grand total"),"",IF(SUMPRODUCT(($B94:$CH94&gt;0)*($B$2:$CH$2="H"))&gt;0,1,0))</f>
        <v/>
      </c>
    </row>
    <row r="95" customFormat="false" ht="15" hidden="false" customHeight="false" outlineLevel="0" collapsed="false">
      <c r="CJ95" s="21" t="str">
        <f aca="false">IF(OR($A95="",LOWER(TRIM($A95))="grand total"),"",IF(SUMPRODUCT(($B95:$CH95&gt;0)*($B$2:$CH$2="H"))&gt;0,1,0))</f>
        <v/>
      </c>
    </row>
    <row r="96" customFormat="false" ht="15" hidden="false" customHeight="false" outlineLevel="0" collapsed="false">
      <c r="CJ96" s="21" t="str">
        <f aca="false">IF(OR($A96="",LOWER(TRIM($A96))="grand total"),"",IF(SUMPRODUCT(($B96:$CH96&gt;0)*($B$2:$CH$2="H"))&gt;0,1,0))</f>
        <v/>
      </c>
    </row>
    <row r="97" customFormat="false" ht="15" hidden="false" customHeight="false" outlineLevel="0" collapsed="false">
      <c r="CJ97" s="21" t="str">
        <f aca="false">IF(OR($A97="",LOWER(TRIM($A97))="grand total"),"",IF(SUMPRODUCT(($B97:$CH97&gt;0)*($B$2:$CH$2="H"))&gt;0,1,0))</f>
        <v/>
      </c>
    </row>
    <row r="98" customFormat="false" ht="15" hidden="false" customHeight="false" outlineLevel="0" collapsed="false">
      <c r="CJ98" s="21" t="str">
        <f aca="false">IF(OR($A98="",LOWER(TRIM($A98))="grand total"),"",IF(SUMPRODUCT(($B98:$CH98&gt;0)*($B$2:$CH$2="H"))&gt;0,1,0))</f>
        <v/>
      </c>
    </row>
    <row r="99" customFormat="false" ht="15" hidden="false" customHeight="false" outlineLevel="0" collapsed="false">
      <c r="CJ99" s="21" t="str">
        <f aca="false">IF(OR($A99="",LOWER(TRIM($A99))="grand total"),"",IF(SUMPRODUCT(($B99:$CH99&gt;0)*($B$2:$CH$2="H"))&gt;0,1,0))</f>
        <v/>
      </c>
    </row>
    <row r="100" customFormat="false" ht="15" hidden="false" customHeight="false" outlineLevel="0" collapsed="false">
      <c r="CJ100" s="21" t="str">
        <f aca="false">IF(OR($A100="",LOWER(TRIM($A100))="grand total"),"",IF(SUMPRODUCT(($B100:$CH100&gt;0)*($B$2:$CH$2="H"))&gt;0,1,0))</f>
        <v/>
      </c>
    </row>
    <row r="101" customFormat="false" ht="15" hidden="false" customHeight="false" outlineLevel="0" collapsed="false">
      <c r="CJ101" s="21" t="str">
        <f aca="false">IF(OR($A101="",LOWER(TRIM($A101))="grand total"),"",IF(SUMPRODUCT(($B101:$CH101&gt;0)*($B$2:$CH$2="H"))&gt;0,1,0))</f>
        <v/>
      </c>
    </row>
    <row r="102" customFormat="false" ht="15" hidden="false" customHeight="false" outlineLevel="0" collapsed="false">
      <c r="CJ102" s="21" t="str">
        <f aca="false">IF(OR($A102="",LOWER(TRIM($A102))="grand total"),"",IF(SUMPRODUCT(($B102:$CH102&gt;0)*($B$2:$CH$2="H"))&gt;0,1,0))</f>
        <v/>
      </c>
    </row>
    <row r="103" customFormat="false" ht="15" hidden="false" customHeight="false" outlineLevel="0" collapsed="false">
      <c r="CJ103" s="21" t="str">
        <f aca="false">IF(OR($A103="",LOWER(TRIM($A103))="grand total"),"",IF(SUMPRODUCT(($B103:$CH103&gt;0)*($B$2:$CH$2="H"))&gt;0,1,0))</f>
        <v/>
      </c>
    </row>
    <row r="104" customFormat="false" ht="15" hidden="false" customHeight="false" outlineLevel="0" collapsed="false">
      <c r="CJ104" s="21" t="str">
        <f aca="false">IF(OR($A104="",LOWER(TRIM($A104))="grand total"),"",IF(SUMPRODUCT(($B104:$CH104&gt;0)*($B$2:$CH$2="H"))&gt;0,1,0))</f>
        <v/>
      </c>
    </row>
    <row r="105" customFormat="false" ht="15" hidden="false" customHeight="false" outlineLevel="0" collapsed="false">
      <c r="CJ105" s="21" t="str">
        <f aca="false">IF(OR($A105="",LOWER(TRIM($A105))="grand total"),"",IF(SUMPRODUCT(($B105:$CH105&gt;0)*($B$2:$CH$2="H"))&gt;0,1,0))</f>
        <v/>
      </c>
    </row>
    <row r="106" customFormat="false" ht="15" hidden="false" customHeight="false" outlineLevel="0" collapsed="false">
      <c r="CJ106" s="21" t="str">
        <f aca="false">IF(OR($A106="",LOWER(TRIM($A106))="grand total"),"",IF(SUMPRODUCT(($B106:$CH106&gt;0)*($B$2:$CH$2="H"))&gt;0,1,0))</f>
        <v/>
      </c>
    </row>
    <row r="107" customFormat="false" ht="15" hidden="false" customHeight="false" outlineLevel="0" collapsed="false">
      <c r="CJ107" s="21" t="str">
        <f aca="false">IF(OR($A107="",LOWER(TRIM($A107))="grand total"),"",IF(SUMPRODUCT(($B107:$CH107&gt;0)*($B$2:$CH$2="H"))&gt;0,1,0))</f>
        <v/>
      </c>
    </row>
    <row r="108" customFormat="false" ht="15" hidden="false" customHeight="false" outlineLevel="0" collapsed="false">
      <c r="CJ108" s="21" t="str">
        <f aca="false">IF(OR($A108="",LOWER(TRIM($A108))="grand total"),"",IF(SUMPRODUCT(($B108:$CH108&gt;0)*($B$2:$CH$2="H"))&gt;0,1,0))</f>
        <v/>
      </c>
    </row>
    <row r="109" customFormat="false" ht="15" hidden="false" customHeight="false" outlineLevel="0" collapsed="false">
      <c r="CJ109" s="21" t="str">
        <f aca="false">IF(OR($A109="",LOWER(TRIM($A109))="grand total"),"",IF(SUMPRODUCT(($B109:$CH109&gt;0)*($B$2:$CH$2="H"))&gt;0,1,0))</f>
        <v/>
      </c>
    </row>
    <row r="110" customFormat="false" ht="15" hidden="false" customHeight="false" outlineLevel="0" collapsed="false">
      <c r="CJ110" s="21" t="str">
        <f aca="false">IF(OR($A110="",LOWER(TRIM($A110))="grand total"),"",IF(SUMPRODUCT(($B110:$CH110&gt;0)*($B$2:$CH$2="H"))&gt;0,1,0))</f>
        <v/>
      </c>
    </row>
    <row r="111" customFormat="false" ht="15" hidden="false" customHeight="false" outlineLevel="0" collapsed="false">
      <c r="CJ111" s="21" t="str">
        <f aca="false">IF(OR($A111="",LOWER(TRIM($A111))="grand total"),"",IF(SUMPRODUCT(($B111:$CH111&gt;0)*($B$2:$CH$2="H"))&gt;0,1,0))</f>
        <v/>
      </c>
    </row>
    <row r="112" customFormat="false" ht="15" hidden="false" customHeight="false" outlineLevel="0" collapsed="false">
      <c r="CJ112" s="21" t="str">
        <f aca="false">IF(OR($A112="",LOWER(TRIM($A112))="grand total"),"",IF(SUMPRODUCT(($B112:$CH112&gt;0)*($B$2:$CH$2="H"))&gt;0,1,0))</f>
        <v/>
      </c>
    </row>
    <row r="113" customFormat="false" ht="15" hidden="false" customHeight="false" outlineLevel="0" collapsed="false">
      <c r="CJ113" s="21" t="str">
        <f aca="false">IF(OR($A113="",LOWER(TRIM($A113))="grand total"),"",IF(SUMPRODUCT(($B113:$CH113&gt;0)*($B$2:$CH$2="H"))&gt;0,1,0))</f>
        <v/>
      </c>
    </row>
    <row r="114" customFormat="false" ht="15" hidden="false" customHeight="false" outlineLevel="0" collapsed="false">
      <c r="CJ114" s="21" t="str">
        <f aca="false">IF(OR($A114="",LOWER(TRIM($A114))="grand total"),"",IF(SUMPRODUCT(($B114:$CH114&gt;0)*($B$2:$CH$2="H"))&gt;0,1,0))</f>
        <v/>
      </c>
    </row>
    <row r="115" customFormat="false" ht="15" hidden="false" customHeight="false" outlineLevel="0" collapsed="false">
      <c r="CJ115" s="21" t="str">
        <f aca="false">IF(OR($A115="",LOWER(TRIM($A115))="grand total"),"",IF(SUMPRODUCT(($B115:$CH115&gt;0)*($B$2:$CH$2="H"))&gt;0,1,0))</f>
        <v/>
      </c>
    </row>
    <row r="116" customFormat="false" ht="15" hidden="false" customHeight="false" outlineLevel="0" collapsed="false">
      <c r="CJ116" s="21" t="str">
        <f aca="false">IF(OR($A116="",LOWER(TRIM($A116))="grand total"),"",IF(SUMPRODUCT(($B116:$CH116&gt;0)*($B$2:$CH$2="H"))&gt;0,1,0))</f>
        <v/>
      </c>
    </row>
    <row r="117" customFormat="false" ht="15" hidden="false" customHeight="false" outlineLevel="0" collapsed="false">
      <c r="CJ117" s="21" t="str">
        <f aca="false">IF(OR($A117="",LOWER(TRIM($A117))="grand total"),"",IF(SUMPRODUCT(($B117:$CH117&gt;0)*($B$2:$CH$2="H"))&gt;0,1,0))</f>
        <v/>
      </c>
    </row>
    <row r="118" customFormat="false" ht="15" hidden="false" customHeight="false" outlineLevel="0" collapsed="false">
      <c r="CJ118" s="21" t="str">
        <f aca="false">IF(OR($A118="",LOWER(TRIM($A118))="grand total"),"",IF(SUMPRODUCT(($B118:$CH118&gt;0)*($B$2:$CH$2="H"))&gt;0,1,0))</f>
        <v/>
      </c>
    </row>
    <row r="119" customFormat="false" ht="15" hidden="false" customHeight="false" outlineLevel="0" collapsed="false">
      <c r="CJ119" s="21" t="str">
        <f aca="false">IF(OR($A119="",LOWER(TRIM($A119))="grand total"),"",IF(SUMPRODUCT(($B119:$CH119&gt;0)*($B$2:$CH$2="H"))&gt;0,1,0))</f>
        <v/>
      </c>
    </row>
    <row r="120" customFormat="false" ht="15" hidden="false" customHeight="false" outlineLevel="0" collapsed="false">
      <c r="CJ120" s="21" t="str">
        <f aca="false">IF(OR($A120="",LOWER(TRIM($A120))="grand total"),"",IF(SUMPRODUCT(($B120:$CH120&gt;0)*($B$2:$CH$2="H"))&gt;0,1,0))</f>
        <v/>
      </c>
    </row>
    <row r="121" customFormat="false" ht="15" hidden="false" customHeight="false" outlineLevel="0" collapsed="false">
      <c r="CJ121" s="21" t="str">
        <f aca="false">IF(OR($A121="",LOWER(TRIM($A121))="grand total"),"",IF(SUMPRODUCT(($B121:$CH121&gt;0)*($B$2:$CH$2="H"))&gt;0,1,0))</f>
        <v/>
      </c>
    </row>
    <row r="122" customFormat="false" ht="15" hidden="false" customHeight="false" outlineLevel="0" collapsed="false">
      <c r="CJ122" s="21" t="str">
        <f aca="false">IF(OR($A122="",LOWER(TRIM($A122))="grand total"),"",IF(SUMPRODUCT(($B122:$CH122&gt;0)*($B$2:$CH$2="H"))&gt;0,1,0))</f>
        <v/>
      </c>
    </row>
    <row r="123" customFormat="false" ht="15" hidden="false" customHeight="false" outlineLevel="0" collapsed="false">
      <c r="CJ123" s="21" t="str">
        <f aca="false">IF(OR($A123="",LOWER(TRIM($A123))="grand total"),"",IF(SUMPRODUCT(($B123:$CH123&gt;0)*($B$2:$CH$2="H"))&gt;0,1,0))</f>
        <v/>
      </c>
    </row>
    <row r="124" customFormat="false" ht="15" hidden="false" customHeight="false" outlineLevel="0" collapsed="false">
      <c r="CJ124" s="21" t="str">
        <f aca="false">IF(OR($A124="",LOWER(TRIM($A124))="grand total"),"",IF(SUMPRODUCT(($B124:$CH124&gt;0)*($B$2:$CH$2="H"))&gt;0,1,0))</f>
        <v/>
      </c>
    </row>
    <row r="125" customFormat="false" ht="15" hidden="false" customHeight="false" outlineLevel="0" collapsed="false">
      <c r="CJ125" s="21" t="str">
        <f aca="false">IF(OR($A125="",LOWER(TRIM($A125))="grand total"),"",IF(SUMPRODUCT(($B125:$CH125&gt;0)*($B$2:$CH$2="H"))&gt;0,1,0))</f>
        <v/>
      </c>
    </row>
    <row r="126" customFormat="false" ht="15" hidden="false" customHeight="false" outlineLevel="0" collapsed="false">
      <c r="CJ126" s="21" t="str">
        <f aca="false">IF(OR($A126="",LOWER(TRIM($A126))="grand total"),"",IF(SUMPRODUCT(($B126:$CH126&gt;0)*($B$2:$CH$2="H"))&gt;0,1,0))</f>
        <v/>
      </c>
    </row>
    <row r="127" customFormat="false" ht="15" hidden="false" customHeight="false" outlineLevel="0" collapsed="false">
      <c r="CJ127" s="21" t="str">
        <f aca="false">IF(OR($A127="",LOWER(TRIM($A127))="grand total"),"",IF(SUMPRODUCT(($B127:$CH127&gt;0)*($B$2:$CH$2="H"))&gt;0,1,0))</f>
        <v/>
      </c>
    </row>
    <row r="128" customFormat="false" ht="15" hidden="false" customHeight="false" outlineLevel="0" collapsed="false">
      <c r="CJ128" s="21" t="str">
        <f aca="false">IF(OR($A128="",LOWER(TRIM($A128))="grand total"),"",IF(SUMPRODUCT(($B128:$CH128&gt;0)*($B$2:$CH$2="H"))&gt;0,1,0))</f>
        <v/>
      </c>
    </row>
    <row r="129" customFormat="false" ht="15" hidden="false" customHeight="false" outlineLevel="0" collapsed="false">
      <c r="CJ129" s="21" t="str">
        <f aca="false">IF(OR($A129="",LOWER(TRIM($A129))="grand total"),"",IF(SUMPRODUCT(($B129:$CH129&gt;0)*($B$2:$CH$2="H"))&gt;0,1,0))</f>
        <v/>
      </c>
    </row>
    <row r="130" customFormat="false" ht="15" hidden="false" customHeight="false" outlineLevel="0" collapsed="false">
      <c r="CJ130" s="21" t="str">
        <f aca="false">IF(OR($A130="",LOWER(TRIM($A130))="grand total"),"",IF(SUMPRODUCT(($B130:$CH130&gt;0)*($B$2:$CH$2="H"))&gt;0,1,0))</f>
        <v/>
      </c>
    </row>
    <row r="131" customFormat="false" ht="15" hidden="false" customHeight="false" outlineLevel="0" collapsed="false">
      <c r="CJ131" s="21" t="str">
        <f aca="false">IF(OR($A131="",LOWER(TRIM($A131))="grand total"),"",IF(SUMPRODUCT(($B131:$CH131&gt;0)*($B$2:$CH$2="H"))&gt;0,1,0))</f>
        <v/>
      </c>
    </row>
    <row r="132" customFormat="false" ht="15" hidden="false" customHeight="false" outlineLevel="0" collapsed="false">
      <c r="CJ132" s="21" t="str">
        <f aca="false">IF(OR($A132="",LOWER(TRIM($A132))="grand total"),"",IF(SUMPRODUCT(($B132:$CH132&gt;0)*($B$2:$CH$2="H"))&gt;0,1,0))</f>
        <v/>
      </c>
    </row>
    <row r="133" customFormat="false" ht="15" hidden="false" customHeight="false" outlineLevel="0" collapsed="false">
      <c r="CJ133" s="21" t="str">
        <f aca="false">IF(OR($A133="",LOWER(TRIM($A133))="grand total"),"",IF(SUMPRODUCT(($B133:$CH133&gt;0)*($B$2:$CH$2="H"))&gt;0,1,0))</f>
        <v/>
      </c>
    </row>
    <row r="134" customFormat="false" ht="15" hidden="false" customHeight="false" outlineLevel="0" collapsed="false">
      <c r="CJ134" s="21" t="str">
        <f aca="false">IF(OR($A134="",LOWER(TRIM($A134))="grand total"),"",IF(SUMPRODUCT(($B134:$CH134&gt;0)*($B$2:$CH$2="H"))&gt;0,1,0))</f>
        <v/>
      </c>
    </row>
    <row r="135" customFormat="false" ht="15" hidden="false" customHeight="false" outlineLevel="0" collapsed="false">
      <c r="CJ135" s="21" t="str">
        <f aca="false">IF(OR($A135="",LOWER(TRIM($A135))="grand total"),"",IF(SUMPRODUCT(($B135:$CH135&gt;0)*($B$2:$CH$2="H"))&gt;0,1,0))</f>
        <v/>
      </c>
    </row>
    <row r="136" customFormat="false" ht="15" hidden="false" customHeight="false" outlineLevel="0" collapsed="false">
      <c r="CJ136" s="21" t="str">
        <f aca="false">IF(OR($A136="",LOWER(TRIM($A136))="grand total"),"",IF(SUMPRODUCT(($B136:$CH136&gt;0)*($B$2:$CH$2="H"))&gt;0,1,0))</f>
        <v/>
      </c>
    </row>
    <row r="137" customFormat="false" ht="15" hidden="false" customHeight="false" outlineLevel="0" collapsed="false">
      <c r="CJ137" s="21" t="str">
        <f aca="false">IF(OR($A137="",LOWER(TRIM($A137))="grand total"),"",IF(SUMPRODUCT(($B137:$CH137&gt;0)*($B$2:$CH$2="H"))&gt;0,1,0))</f>
        <v/>
      </c>
    </row>
    <row r="138" customFormat="false" ht="15" hidden="false" customHeight="false" outlineLevel="0" collapsed="false">
      <c r="CJ138" s="21" t="str">
        <f aca="false">IF(OR($A138="",LOWER(TRIM($A138))="grand total"),"",IF(SUMPRODUCT(($B138:$CH138&gt;0)*($B$2:$CH$2="H"))&gt;0,1,0))</f>
        <v/>
      </c>
    </row>
    <row r="139" customFormat="false" ht="15" hidden="false" customHeight="false" outlineLevel="0" collapsed="false">
      <c r="CJ139" s="21" t="str">
        <f aca="false">IF(OR($A139="",LOWER(TRIM($A139))="grand total"),"",IF(SUMPRODUCT(($B139:$CH139&gt;0)*($B$2:$CH$2="H"))&gt;0,1,0))</f>
        <v/>
      </c>
    </row>
    <row r="140" customFormat="false" ht="15" hidden="false" customHeight="false" outlineLevel="0" collapsed="false">
      <c r="CJ140" s="21" t="str">
        <f aca="false">IF(OR($A140="",LOWER(TRIM($A140))="grand total"),"",IF(SUMPRODUCT(($B140:$CH140&gt;0)*($B$2:$CH$2="H"))&gt;0,1,0))</f>
        <v/>
      </c>
    </row>
    <row r="141" customFormat="false" ht="15" hidden="false" customHeight="false" outlineLevel="0" collapsed="false">
      <c r="CJ141" s="21" t="str">
        <f aca="false">IF(OR($A141="",LOWER(TRIM($A141))="grand total"),"",IF(SUMPRODUCT(($B141:$CH141&gt;0)*($B$2:$CH$2="H"))&gt;0,1,0))</f>
        <v/>
      </c>
    </row>
    <row r="142" customFormat="false" ht="15" hidden="false" customHeight="false" outlineLevel="0" collapsed="false">
      <c r="CJ142" s="21" t="str">
        <f aca="false">IF(OR($A142="",LOWER(TRIM($A142))="grand total"),"",IF(SUMPRODUCT(($B142:$CH142&gt;0)*($B$2:$CH$2="H"))&gt;0,1,0))</f>
        <v/>
      </c>
    </row>
    <row r="143" customFormat="false" ht="15" hidden="false" customHeight="false" outlineLevel="0" collapsed="false">
      <c r="CJ143" s="21" t="str">
        <f aca="false">IF(OR($A143="",LOWER(TRIM($A143))="grand total"),"",IF(SUMPRODUCT(($B143:$CH143&gt;0)*($B$2:$CH$2="H"))&gt;0,1,0))</f>
        <v/>
      </c>
    </row>
    <row r="144" customFormat="false" ht="15" hidden="false" customHeight="false" outlineLevel="0" collapsed="false">
      <c r="CJ144" s="21" t="str">
        <f aca="false">IF(OR($A144="",LOWER(TRIM($A144))="grand total"),"",IF(SUMPRODUCT(($B144:$CH144&gt;0)*($B$2:$CH$2="H"))&gt;0,1,0))</f>
        <v/>
      </c>
    </row>
    <row r="145" customFormat="false" ht="15" hidden="false" customHeight="false" outlineLevel="0" collapsed="false">
      <c r="CJ145" s="21" t="str">
        <f aca="false">IF(OR($A145="",LOWER(TRIM($A145))="grand total"),"",IF(SUMPRODUCT(($B145:$CH145&gt;0)*($B$2:$CH$2="H"))&gt;0,1,0))</f>
        <v/>
      </c>
    </row>
    <row r="146" customFormat="false" ht="15" hidden="false" customHeight="false" outlineLevel="0" collapsed="false">
      <c r="CJ146" s="21" t="str">
        <f aca="false">IF(OR($A146="",LOWER(TRIM($A146))="grand total"),"",IF(SUMPRODUCT(($B146:$CH146&gt;0)*($B$2:$CH$2="H"))&gt;0,1,0))</f>
        <v/>
      </c>
    </row>
    <row r="147" customFormat="false" ht="15" hidden="false" customHeight="false" outlineLevel="0" collapsed="false">
      <c r="CJ147" s="21" t="str">
        <f aca="false">IF(OR($A147="",LOWER(TRIM($A147))="grand total"),"",IF(SUMPRODUCT(($B147:$CH147&gt;0)*($B$2:$CH$2="H"))&gt;0,1,0))</f>
        <v/>
      </c>
    </row>
    <row r="148" customFormat="false" ht="15" hidden="false" customHeight="false" outlineLevel="0" collapsed="false">
      <c r="CJ148" s="21" t="str">
        <f aca="false">IF(OR($A148="",LOWER(TRIM($A148))="grand total"),"",IF(SUMPRODUCT(($B148:$CH148&gt;0)*($B$2:$CH$2="H"))&gt;0,1,0))</f>
        <v/>
      </c>
    </row>
    <row r="149" customFormat="false" ht="15" hidden="false" customHeight="false" outlineLevel="0" collapsed="false">
      <c r="CJ149" s="21" t="str">
        <f aca="false">IF(OR($A149="",LOWER(TRIM($A149))="grand total"),"",IF(SUMPRODUCT(($B149:$CH149&gt;0)*($B$2:$CH$2="H"))&gt;0,1,0))</f>
        <v/>
      </c>
    </row>
    <row r="150" customFormat="false" ht="15" hidden="false" customHeight="false" outlineLevel="0" collapsed="false">
      <c r="CJ150" s="21" t="str">
        <f aca="false">IF(OR($A150="",LOWER(TRIM($A150))="grand total"),"",IF(SUMPRODUCT(($B150:$CH150&gt;0)*($B$2:$CH$2="H"))&gt;0,1,0))</f>
        <v/>
      </c>
    </row>
    <row r="151" customFormat="false" ht="15" hidden="false" customHeight="false" outlineLevel="0" collapsed="false">
      <c r="CJ151" s="21" t="str">
        <f aca="false">IF(OR($A151="",LOWER(TRIM($A151))="grand total"),"",IF(SUMPRODUCT(($B151:$CH151&gt;0)*($B$2:$CH$2="H"))&gt;0,1,0))</f>
        <v/>
      </c>
    </row>
    <row r="152" customFormat="false" ht="15" hidden="false" customHeight="false" outlineLevel="0" collapsed="false">
      <c r="CJ152" s="21" t="str">
        <f aca="false">IF(OR($A152="",LOWER(TRIM($A152))="grand total"),"",IF(SUMPRODUCT(($B152:$CH152&gt;0)*($B$2:$CH$2="H"))&gt;0,1,0))</f>
        <v/>
      </c>
    </row>
    <row r="153" customFormat="false" ht="15" hidden="false" customHeight="false" outlineLevel="0" collapsed="false">
      <c r="CJ153" s="21" t="str">
        <f aca="false">IF(OR($A153="",LOWER(TRIM($A153))="grand total"),"",IF(SUMPRODUCT(($B153:$CH153&gt;0)*($B$2:$CH$2="H"))&gt;0,1,0))</f>
        <v/>
      </c>
    </row>
    <row r="154" customFormat="false" ht="15" hidden="false" customHeight="false" outlineLevel="0" collapsed="false">
      <c r="CJ154" s="21" t="str">
        <f aca="false">IF(OR($A154="",LOWER(TRIM($A154))="grand total"),"",IF(SUMPRODUCT(($B154:$CH154&gt;0)*($B$2:$CH$2="H"))&gt;0,1,0))</f>
        <v/>
      </c>
    </row>
    <row r="155" customFormat="false" ht="15" hidden="false" customHeight="false" outlineLevel="0" collapsed="false">
      <c r="CJ155" s="21" t="str">
        <f aca="false">IF(OR($A155="",LOWER(TRIM($A155))="grand total"),"",IF(SUMPRODUCT(($B155:$CH155&gt;0)*($B$2:$CH$2="H"))&gt;0,1,0))</f>
        <v/>
      </c>
    </row>
    <row r="156" customFormat="false" ht="15" hidden="false" customHeight="false" outlineLevel="0" collapsed="false">
      <c r="CJ156" s="21" t="str">
        <f aca="false">IF(OR($A156="",LOWER(TRIM($A156))="grand total"),"",IF(SUMPRODUCT(($B156:$CH156&gt;0)*($B$2:$CH$2="H"))&gt;0,1,0))</f>
        <v/>
      </c>
    </row>
    <row r="157" customFormat="false" ht="15" hidden="false" customHeight="false" outlineLevel="0" collapsed="false">
      <c r="CJ157" s="21" t="str">
        <f aca="false">IF(OR($A157="",LOWER(TRIM($A157))="grand total"),"",IF(SUMPRODUCT(($B157:$CH157&gt;0)*($B$2:$CH$2="H"))&gt;0,1,0))</f>
        <v/>
      </c>
    </row>
    <row r="158" customFormat="false" ht="15" hidden="false" customHeight="false" outlineLevel="0" collapsed="false">
      <c r="CJ158" s="21" t="str">
        <f aca="false">IF(OR($A158="",LOWER(TRIM($A158))="grand total"),"",IF(SUMPRODUCT(($B158:$CH158&gt;0)*($B$2:$CH$2="H"))&gt;0,1,0))</f>
        <v/>
      </c>
    </row>
    <row r="159" customFormat="false" ht="15" hidden="false" customHeight="false" outlineLevel="0" collapsed="false">
      <c r="CJ159" s="21" t="str">
        <f aca="false">IF(OR($A159="",LOWER(TRIM($A159))="grand total"),"",IF(SUMPRODUCT(($B159:$CH159&gt;0)*($B$2:$CH$2="H"))&gt;0,1,0))</f>
        <v/>
      </c>
    </row>
    <row r="160" customFormat="false" ht="15" hidden="false" customHeight="false" outlineLevel="0" collapsed="false">
      <c r="CJ160" s="21" t="str">
        <f aca="false">IF(OR($A160="",LOWER(TRIM($A160))="grand total"),"",IF(SUMPRODUCT(($B160:$CH160&gt;0)*($B$2:$CH$2="H"))&gt;0,1,0))</f>
        <v/>
      </c>
    </row>
    <row r="161" customFormat="false" ht="15" hidden="false" customHeight="false" outlineLevel="0" collapsed="false">
      <c r="CJ161" s="21" t="str">
        <f aca="false">IF(OR($A161="",LOWER(TRIM($A161))="grand total"),"",IF(SUMPRODUCT(($B161:$CH161&gt;0)*($B$2:$CH$2="H"))&gt;0,1,0))</f>
        <v/>
      </c>
    </row>
    <row r="162" customFormat="false" ht="15" hidden="false" customHeight="false" outlineLevel="0" collapsed="false">
      <c r="CJ162" s="21" t="str">
        <f aca="false">IF(OR($A162="",LOWER(TRIM($A162))="grand total"),"",IF(SUMPRODUCT(($B162:$CH162&gt;0)*($B$2:$CH$2="H"))&gt;0,1,0))</f>
        <v/>
      </c>
    </row>
    <row r="163" customFormat="false" ht="15" hidden="false" customHeight="false" outlineLevel="0" collapsed="false">
      <c r="CJ163" s="21" t="str">
        <f aca="false">IF(OR($A163="",LOWER(TRIM($A163))="grand total"),"",IF(SUMPRODUCT(($B163:$CH163&gt;0)*($B$2:$CH$2="H"))&gt;0,1,0))</f>
        <v/>
      </c>
    </row>
    <row r="164" customFormat="false" ht="15" hidden="false" customHeight="false" outlineLevel="0" collapsed="false">
      <c r="CJ164" s="21" t="str">
        <f aca="false">IF(OR($A164="",LOWER(TRIM($A164))="grand total"),"",IF(SUMPRODUCT(($B164:$CH164&gt;0)*($B$2:$CH$2="H"))&gt;0,1,0))</f>
        <v/>
      </c>
    </row>
    <row r="165" customFormat="false" ht="15" hidden="false" customHeight="false" outlineLevel="0" collapsed="false">
      <c r="CJ165" s="21" t="str">
        <f aca="false">IF(OR($A165="",LOWER(TRIM($A165))="grand total"),"",IF(SUMPRODUCT(($B165:$CH165&gt;0)*($B$2:$CH$2="H"))&gt;0,1,0))</f>
        <v/>
      </c>
    </row>
    <row r="166" customFormat="false" ht="15" hidden="false" customHeight="false" outlineLevel="0" collapsed="false">
      <c r="CJ166" s="21" t="str">
        <f aca="false">IF(OR($A166="",LOWER(TRIM($A166))="grand total"),"",IF(SUMPRODUCT(($B166:$CH166&gt;0)*($B$2:$CH$2="H"))&gt;0,1,0))</f>
        <v/>
      </c>
    </row>
    <row r="167" customFormat="false" ht="15" hidden="false" customHeight="false" outlineLevel="0" collapsed="false">
      <c r="CJ167" s="21" t="str">
        <f aca="false">IF(OR($A167="",LOWER(TRIM($A167))="grand total"),"",IF(SUMPRODUCT(($B167:$CH167&gt;0)*($B$2:$CH$2="H"))&gt;0,1,0))</f>
        <v/>
      </c>
    </row>
    <row r="168" customFormat="false" ht="15" hidden="false" customHeight="false" outlineLevel="0" collapsed="false">
      <c r="CJ168" s="21" t="str">
        <f aca="false">IF(OR($A168="",LOWER(TRIM($A168))="grand total"),"",IF(SUMPRODUCT(($B168:$CH168&gt;0)*($B$2:$CH$2="H"))&gt;0,1,0))</f>
        <v/>
      </c>
    </row>
    <row r="169" customFormat="false" ht="15" hidden="false" customHeight="false" outlineLevel="0" collapsed="false">
      <c r="CJ169" s="21" t="str">
        <f aca="false">IF(OR($A169="",LOWER(TRIM($A169))="grand total"),"",IF(SUMPRODUCT(($B169:$CH169&gt;0)*($B$2:$CH$2="H"))&gt;0,1,0))</f>
        <v/>
      </c>
    </row>
    <row r="170" customFormat="false" ht="15" hidden="false" customHeight="false" outlineLevel="0" collapsed="false">
      <c r="CJ170" s="21" t="str">
        <f aca="false">IF(OR($A170="",LOWER(TRIM($A170))="grand total"),"",IF(SUMPRODUCT(($B170:$CH170&gt;0)*($B$2:$CH$2="H"))&gt;0,1,0))</f>
        <v/>
      </c>
    </row>
    <row r="171" customFormat="false" ht="15" hidden="false" customHeight="false" outlineLevel="0" collapsed="false">
      <c r="CJ171" s="21" t="str">
        <f aca="false">IF(OR($A171="",LOWER(TRIM($A171))="grand total"),"",IF(SUMPRODUCT(($B171:$CH171&gt;0)*($B$2:$CH$2="H"))&gt;0,1,0))</f>
        <v/>
      </c>
    </row>
    <row r="172" customFormat="false" ht="15" hidden="false" customHeight="false" outlineLevel="0" collapsed="false">
      <c r="CJ172" s="21" t="str">
        <f aca="false">IF(OR($A172="",LOWER(TRIM($A172))="grand total"),"",IF(SUMPRODUCT(($B172:$CH172&gt;0)*($B$2:$CH$2="H"))&gt;0,1,0))</f>
        <v/>
      </c>
    </row>
    <row r="173" customFormat="false" ht="15" hidden="false" customHeight="false" outlineLevel="0" collapsed="false">
      <c r="CJ173" s="21" t="str">
        <f aca="false">IF(OR($A173="",LOWER(TRIM($A173))="grand total"),"",IF(SUMPRODUCT(($B173:$CH173&gt;0)*($B$2:$CH$2="H"))&gt;0,1,0))</f>
        <v/>
      </c>
    </row>
    <row r="174" customFormat="false" ht="15" hidden="false" customHeight="false" outlineLevel="0" collapsed="false">
      <c r="CJ174" s="21" t="str">
        <f aca="false">IF(OR($A174="",LOWER(TRIM($A174))="grand total"),"",IF(SUMPRODUCT(($B174:$CH174&gt;0)*($B$2:$CH$2="H"))&gt;0,1,0))</f>
        <v/>
      </c>
    </row>
    <row r="175" customFormat="false" ht="15" hidden="false" customHeight="false" outlineLevel="0" collapsed="false">
      <c r="CJ175" s="21" t="str">
        <f aca="false">IF(OR($A175="",LOWER(TRIM($A175))="grand total"),"",IF(SUMPRODUCT(($B175:$CH175&gt;0)*($B$2:$CH$2="H"))&gt;0,1,0))</f>
        <v/>
      </c>
    </row>
    <row r="176" customFormat="false" ht="15" hidden="false" customHeight="false" outlineLevel="0" collapsed="false">
      <c r="CJ176" s="21" t="str">
        <f aca="false">IF(OR($A176="",LOWER(TRIM($A176))="grand total"),"",IF(SUMPRODUCT(($B176:$CH176&gt;0)*($B$2:$CH$2="H"))&gt;0,1,0))</f>
        <v/>
      </c>
    </row>
    <row r="177" customFormat="false" ht="15" hidden="false" customHeight="false" outlineLevel="0" collapsed="false">
      <c r="CJ177" s="21" t="str">
        <f aca="false">IF(OR($A177="",LOWER(TRIM($A177))="grand total"),"",IF(SUMPRODUCT(($B177:$CH177&gt;0)*($B$2:$CH$2="H"))&gt;0,1,0))</f>
        <v/>
      </c>
    </row>
    <row r="178" customFormat="false" ht="15" hidden="false" customHeight="false" outlineLevel="0" collapsed="false">
      <c r="CJ178" s="21" t="str">
        <f aca="false">IF(OR($A178="",LOWER(TRIM($A178))="grand total"),"",IF(SUMPRODUCT(($B178:$CH178&gt;0)*($B$2:$CH$2="H"))&gt;0,1,0))</f>
        <v/>
      </c>
    </row>
    <row r="179" customFormat="false" ht="15" hidden="false" customHeight="false" outlineLevel="0" collapsed="false">
      <c r="CJ179" s="21" t="str">
        <f aca="false">IF(OR($A179="",LOWER(TRIM($A179))="grand total"),"",IF(SUMPRODUCT(($B179:$CH179&gt;0)*($B$2:$CH$2="H"))&gt;0,1,0))</f>
        <v/>
      </c>
    </row>
    <row r="180" customFormat="false" ht="15" hidden="false" customHeight="false" outlineLevel="0" collapsed="false">
      <c r="CJ180" s="21" t="str">
        <f aca="false">IF(OR($A180="",LOWER(TRIM($A180))="grand total"),"",IF(SUMPRODUCT(($B180:$CH180&gt;0)*($B$2:$CH$2="H"))&gt;0,1,0))</f>
        <v/>
      </c>
    </row>
    <row r="181" customFormat="false" ht="15" hidden="false" customHeight="false" outlineLevel="0" collapsed="false">
      <c r="CJ181" s="21" t="str">
        <f aca="false">IF(OR($A181="",LOWER(TRIM($A181))="grand total"),"",IF(SUMPRODUCT(($B181:$CH181&gt;0)*($B$2:$CH$2="H"))&gt;0,1,0))</f>
        <v/>
      </c>
    </row>
    <row r="182" customFormat="false" ht="15" hidden="false" customHeight="false" outlineLevel="0" collapsed="false">
      <c r="CJ182" s="21" t="str">
        <f aca="false">IF(OR($A182="",LOWER(TRIM($A182))="grand total"),"",IF(SUMPRODUCT(($B182:$CH182&gt;0)*($B$2:$CH$2="H"))&gt;0,1,0))</f>
        <v/>
      </c>
    </row>
    <row r="183" customFormat="false" ht="15" hidden="false" customHeight="false" outlineLevel="0" collapsed="false">
      <c r="CJ183" s="21" t="str">
        <f aca="false">IF(OR($A183="",LOWER(TRIM($A183))="grand total"),"",IF(SUMPRODUCT(($B183:$CH183&gt;0)*($B$2:$CH$2="H"))&gt;0,1,0))</f>
        <v/>
      </c>
    </row>
    <row r="184" customFormat="false" ht="15" hidden="false" customHeight="false" outlineLevel="0" collapsed="false">
      <c r="CJ184" s="21" t="str">
        <f aca="false">IF(OR($A184="",LOWER(TRIM($A184))="grand total"),"",IF(SUMPRODUCT(($B184:$CH184&gt;0)*($B$2:$CH$2="H"))&gt;0,1,0))</f>
        <v/>
      </c>
    </row>
    <row r="185" customFormat="false" ht="15" hidden="false" customHeight="false" outlineLevel="0" collapsed="false">
      <c r="CJ185" s="21" t="str">
        <f aca="false">IF(OR($A185="",LOWER(TRIM($A185))="grand total"),"",IF(SUMPRODUCT(($B185:$CH185&gt;0)*($B$2:$CH$2="H"))&gt;0,1,0))</f>
        <v/>
      </c>
    </row>
    <row r="186" customFormat="false" ht="15" hidden="false" customHeight="false" outlineLevel="0" collapsed="false">
      <c r="CJ186" s="21" t="str">
        <f aca="false">IF(OR($A186="",LOWER(TRIM($A186))="grand total"),"",IF(SUMPRODUCT(($B186:$CH186&gt;0)*($B$2:$CH$2="H"))&gt;0,1,0))</f>
        <v/>
      </c>
    </row>
    <row r="187" customFormat="false" ht="15" hidden="false" customHeight="false" outlineLevel="0" collapsed="false">
      <c r="CJ187" s="21" t="str">
        <f aca="false">IF(OR($A187="",LOWER(TRIM($A187))="grand total"),"",IF(SUMPRODUCT(($B187:$CH187&gt;0)*($B$2:$CH$2="H"))&gt;0,1,0))</f>
        <v/>
      </c>
    </row>
    <row r="188" customFormat="false" ht="15" hidden="false" customHeight="false" outlineLevel="0" collapsed="false">
      <c r="CJ188" s="21" t="str">
        <f aca="false">IF(OR($A188="",LOWER(TRIM($A188))="grand total"),"",IF(SUMPRODUCT(($B188:$CH188&gt;0)*($B$2:$CH$2="H"))&gt;0,1,0))</f>
        <v/>
      </c>
    </row>
    <row r="189" customFormat="false" ht="15" hidden="false" customHeight="false" outlineLevel="0" collapsed="false">
      <c r="CJ189" s="21" t="str">
        <f aca="false">IF(OR($A189="",LOWER(TRIM($A189))="grand total"),"",IF(SUMPRODUCT(($B189:$CH189&gt;0)*($B$2:$CH$2="H"))&gt;0,1,0))</f>
        <v/>
      </c>
    </row>
    <row r="190" customFormat="false" ht="15" hidden="false" customHeight="false" outlineLevel="0" collapsed="false">
      <c r="CJ190" s="21" t="str">
        <f aca="false">IF(OR($A190="",LOWER(TRIM($A190))="grand total"),"",IF(SUMPRODUCT(($B190:$CH190&gt;0)*($B$2:$CH$2="H"))&gt;0,1,0))</f>
        <v/>
      </c>
    </row>
    <row r="191" customFormat="false" ht="15" hidden="false" customHeight="false" outlineLevel="0" collapsed="false">
      <c r="CJ191" s="21" t="str">
        <f aca="false">IF(OR($A191="",LOWER(TRIM($A191))="grand total"),"",IF(SUMPRODUCT(($B191:$CH191&gt;0)*($B$2:$CH$2="H"))&gt;0,1,0))</f>
        <v/>
      </c>
    </row>
    <row r="192" customFormat="false" ht="15" hidden="false" customHeight="false" outlineLevel="0" collapsed="false">
      <c r="CJ192" s="21" t="str">
        <f aca="false">IF(OR($A192="",LOWER(TRIM($A192))="grand total"),"",IF(SUMPRODUCT(($B192:$CH192&gt;0)*($B$2:$CH$2="H"))&gt;0,1,0))</f>
        <v/>
      </c>
    </row>
    <row r="193" customFormat="false" ht="15" hidden="false" customHeight="false" outlineLevel="0" collapsed="false">
      <c r="CJ193" s="21" t="str">
        <f aca="false">IF(OR($A193="",LOWER(TRIM($A193))="grand total"),"",IF(SUMPRODUCT(($B193:$CH193&gt;0)*($B$2:$CH$2="H"))&gt;0,1,0))</f>
        <v/>
      </c>
    </row>
    <row r="194" customFormat="false" ht="15" hidden="false" customHeight="false" outlineLevel="0" collapsed="false">
      <c r="CJ194" s="21" t="str">
        <f aca="false">IF(OR($A194="",LOWER(TRIM($A194))="grand total"),"",IF(SUMPRODUCT(($B194:$CH194&gt;0)*($B$2:$CH$2="H"))&gt;0,1,0))</f>
        <v/>
      </c>
    </row>
    <row r="195" customFormat="false" ht="15" hidden="false" customHeight="false" outlineLevel="0" collapsed="false">
      <c r="CJ195" s="21" t="str">
        <f aca="false">IF(OR($A195="",LOWER(TRIM($A195))="grand total"),"",IF(SUMPRODUCT(($B195:$CH195&gt;0)*($B$2:$CH$2="H"))&gt;0,1,0))</f>
        <v/>
      </c>
    </row>
    <row r="196" customFormat="false" ht="15" hidden="false" customHeight="false" outlineLevel="0" collapsed="false">
      <c r="CJ196" s="21" t="str">
        <f aca="false">IF(OR($A196="",LOWER(TRIM($A196))="grand total"),"",IF(SUMPRODUCT(($B196:$CH196&gt;0)*($B$2:$CH$2="H"))&gt;0,1,0))</f>
        <v/>
      </c>
    </row>
    <row r="197" customFormat="false" ht="15" hidden="false" customHeight="false" outlineLevel="0" collapsed="false">
      <c r="CJ197" s="21" t="str">
        <f aca="false">IF(OR($A197="",LOWER(TRIM($A197))="grand total"),"",IF(SUMPRODUCT(($B197:$CH197&gt;0)*($B$2:$CH$2="H"))&gt;0,1,0))</f>
        <v/>
      </c>
    </row>
    <row r="198" customFormat="false" ht="15" hidden="false" customHeight="false" outlineLevel="0" collapsed="false">
      <c r="CJ198" s="21" t="str">
        <f aca="false">IF(OR($A198="",LOWER(TRIM($A198))="grand total"),"",IF(SUMPRODUCT(($B198:$CH198&gt;0)*($B$2:$CH$2="H"))&gt;0,1,0))</f>
        <v/>
      </c>
    </row>
    <row r="199" customFormat="false" ht="15" hidden="false" customHeight="false" outlineLevel="0" collapsed="false">
      <c r="CJ199" s="21" t="str">
        <f aca="false">IF(OR($A199="",LOWER(TRIM($A199))="grand total"),"",IF(SUMPRODUCT(($B199:$CH199&gt;0)*($B$2:$CH$2="H"))&gt;0,1,0))</f>
        <v/>
      </c>
    </row>
    <row r="200" customFormat="false" ht="15" hidden="false" customHeight="false" outlineLevel="0" collapsed="false">
      <c r="CJ200" s="21" t="str">
        <f aca="false">IF(OR($A200="",LOWER(TRIM($A200))="grand total"),"",IF(SUMPRODUCT(($B200:$CH200&gt;0)*($B$2:$CH$2="H"))&gt;0,1,0))</f>
        <v/>
      </c>
    </row>
    <row r="201" customFormat="false" ht="15" hidden="false" customHeight="false" outlineLevel="0" collapsed="false">
      <c r="CJ201" s="21" t="str">
        <f aca="false">IF(OR($A201="",LOWER(TRIM($A201))="grand total"),"",IF(SUMPRODUCT(($B201:$CH201&gt;0)*($B$2:$CH$2="H"))&gt;0,1,0))</f>
        <v/>
      </c>
    </row>
    <row r="202" customFormat="false" ht="15" hidden="false" customHeight="false" outlineLevel="0" collapsed="false">
      <c r="CJ202" s="21" t="str">
        <f aca="false">IF(OR($A202="",LOWER(TRIM($A202))="grand total"),"",IF(SUMPRODUCT(($B202:$CH202&gt;0)*($B$2:$CH$2="H"))&gt;0,1,0))</f>
        <v/>
      </c>
    </row>
    <row r="203" customFormat="false" ht="15" hidden="false" customHeight="false" outlineLevel="0" collapsed="false">
      <c r="CJ203" s="21" t="str">
        <f aca="false">IF(OR($A203="",LOWER(TRIM($A203))="grand total"),"",IF(SUMPRODUCT(($B203:$CH203&gt;0)*($B$2:$CH$2="H"))&gt;0,1,0))</f>
        <v/>
      </c>
    </row>
    <row r="204" customFormat="false" ht="15" hidden="false" customHeight="false" outlineLevel="0" collapsed="false">
      <c r="CJ204" s="21" t="str">
        <f aca="false">IF(OR($A204="",LOWER(TRIM($A204))="grand total"),"",IF(SUMPRODUCT(($B204:$CH204&gt;0)*($B$2:$CH$2="H"))&gt;0,1,0))</f>
        <v/>
      </c>
    </row>
    <row r="205" customFormat="false" ht="15" hidden="false" customHeight="false" outlineLevel="0" collapsed="false">
      <c r="CJ205" s="21" t="str">
        <f aca="false">IF(OR($A205="",LOWER(TRIM($A205))="grand total"),"",IF(SUMPRODUCT(($B205:$CH205&gt;0)*($B$2:$CH$2="H"))&gt;0,1,0))</f>
        <v/>
      </c>
    </row>
    <row r="206" customFormat="false" ht="15" hidden="false" customHeight="false" outlineLevel="0" collapsed="false">
      <c r="CJ206" s="21" t="str">
        <f aca="false">IF(OR($A206="",LOWER(TRIM($A206))="grand total"),"",IF(SUMPRODUCT(($B206:$CH206&gt;0)*($B$2:$CH$2="H"))&gt;0,1,0))</f>
        <v/>
      </c>
    </row>
    <row r="207" customFormat="false" ht="15" hidden="false" customHeight="false" outlineLevel="0" collapsed="false">
      <c r="CJ207" s="21" t="str">
        <f aca="false">IF(OR($A207="",LOWER(TRIM($A207))="grand total"),"",IF(SUMPRODUCT(($B207:$CH207&gt;0)*($B$2:$CH$2="H"))&gt;0,1,0))</f>
        <v/>
      </c>
    </row>
    <row r="208" customFormat="false" ht="15" hidden="false" customHeight="false" outlineLevel="0" collapsed="false">
      <c r="CJ208" s="21" t="str">
        <f aca="false">IF(OR($A208="",LOWER(TRIM($A208))="grand total"),"",IF(SUMPRODUCT(($B208:$CH208&gt;0)*($B$2:$CH$2="H"))&gt;0,1,0))</f>
        <v/>
      </c>
    </row>
    <row r="209" customFormat="false" ht="15" hidden="false" customHeight="false" outlineLevel="0" collapsed="false">
      <c r="CJ209" s="21" t="str">
        <f aca="false">IF(OR($A209="",LOWER(TRIM($A209))="grand total"),"",IF(SUMPRODUCT(($B209:$CH209&gt;0)*($B$2:$CH$2="H"))&gt;0,1,0))</f>
        <v/>
      </c>
    </row>
    <row r="210" customFormat="false" ht="15" hidden="false" customHeight="false" outlineLevel="0" collapsed="false">
      <c r="CJ210" s="21" t="str">
        <f aca="false">IF(OR($A210="",LOWER(TRIM($A210))="grand total"),"",IF(SUMPRODUCT(($B210:$CH210&gt;0)*($B$2:$CH$2="H"))&gt;0,1,0))</f>
        <v/>
      </c>
    </row>
    <row r="211" customFormat="false" ht="15" hidden="false" customHeight="false" outlineLevel="0" collapsed="false">
      <c r="CJ211" s="21" t="str">
        <f aca="false">IF(OR($A211="",LOWER(TRIM($A211))="grand total"),"",IF(SUMPRODUCT(($B211:$CH211&gt;0)*($B$2:$CH$2="H"))&gt;0,1,0))</f>
        <v/>
      </c>
    </row>
    <row r="212" customFormat="false" ht="15" hidden="false" customHeight="false" outlineLevel="0" collapsed="false">
      <c r="CJ212" s="21" t="str">
        <f aca="false">IF(OR($A212="",LOWER(TRIM($A212))="grand total"),"",IF(SUMPRODUCT(($B212:$CH212&gt;0)*($B$2:$CH$2="H"))&gt;0,1,0))</f>
        <v/>
      </c>
    </row>
    <row r="213" customFormat="false" ht="15" hidden="false" customHeight="false" outlineLevel="0" collapsed="false">
      <c r="CJ213" s="21" t="str">
        <f aca="false">IF(OR($A213="",LOWER(TRIM($A213))="grand total"),"",IF(SUMPRODUCT(($B213:$CH213&gt;0)*($B$2:$CH$2="H"))&gt;0,1,0))</f>
        <v/>
      </c>
    </row>
    <row r="214" customFormat="false" ht="15" hidden="false" customHeight="false" outlineLevel="0" collapsed="false">
      <c r="CJ214" s="21" t="str">
        <f aca="false">IF(OR($A214="",LOWER(TRIM($A214))="grand total"),"",IF(SUMPRODUCT(($B214:$CH214&gt;0)*($B$2:$CH$2="H"))&gt;0,1,0))</f>
        <v/>
      </c>
    </row>
    <row r="215" customFormat="false" ht="15" hidden="false" customHeight="false" outlineLevel="0" collapsed="false">
      <c r="CJ215" s="21" t="str">
        <f aca="false">IF(OR($A215="",LOWER(TRIM($A215))="grand total"),"",IF(SUMPRODUCT(($B215:$CH215&gt;0)*($B$2:$CH$2="H"))&gt;0,1,0))</f>
        <v/>
      </c>
    </row>
    <row r="216" customFormat="false" ht="15" hidden="false" customHeight="false" outlineLevel="0" collapsed="false">
      <c r="CJ216" s="21" t="str">
        <f aca="false">IF(OR($A216="",LOWER(TRIM($A216))="grand total"),"",IF(SUMPRODUCT(($B216:$CH216&gt;0)*($B$2:$CH$2="H"))&gt;0,1,0))</f>
        <v/>
      </c>
    </row>
    <row r="217" customFormat="false" ht="15" hidden="false" customHeight="false" outlineLevel="0" collapsed="false">
      <c r="CJ217" s="21" t="str">
        <f aca="false">IF(OR($A217="",LOWER(TRIM($A217))="grand total"),"",IF(SUMPRODUCT(($B217:$CH217&gt;0)*($B$2:$CH$2="H"))&gt;0,1,0))</f>
        <v/>
      </c>
    </row>
    <row r="218" customFormat="false" ht="15" hidden="false" customHeight="false" outlineLevel="0" collapsed="false">
      <c r="CJ218" s="21" t="str">
        <f aca="false">IF(OR($A218="",LOWER(TRIM($A218))="grand total"),"",IF(SUMPRODUCT(($B218:$CH218&gt;0)*($B$2:$CH$2="H"))&gt;0,1,0))</f>
        <v/>
      </c>
    </row>
    <row r="219" customFormat="false" ht="15" hidden="false" customHeight="false" outlineLevel="0" collapsed="false">
      <c r="CJ219" s="21" t="str">
        <f aca="false">IF(OR($A219="",LOWER(TRIM($A219))="grand total"),"",IF(SUMPRODUCT(($B219:$CH219&gt;0)*($B$2:$CH$2="H"))&gt;0,1,0))</f>
        <v/>
      </c>
    </row>
    <row r="220" customFormat="false" ht="15" hidden="false" customHeight="false" outlineLevel="0" collapsed="false">
      <c r="CJ220" s="21" t="str">
        <f aca="false">IF(OR($A220="",LOWER(TRIM($A220))="grand total"),"",IF(SUMPRODUCT(($B220:$CH220&gt;0)*($B$2:$CH$2="H"))&gt;0,1,0))</f>
        <v/>
      </c>
    </row>
    <row r="221" customFormat="false" ht="15" hidden="false" customHeight="false" outlineLevel="0" collapsed="false">
      <c r="CJ221" s="21" t="str">
        <f aca="false">IF(OR($A221="",LOWER(TRIM($A221))="grand total"),"",IF(SUMPRODUCT(($B221:$CH221&gt;0)*($B$2:$CH$2="H"))&gt;0,1,0))</f>
        <v/>
      </c>
    </row>
    <row r="222" customFormat="false" ht="15" hidden="false" customHeight="false" outlineLevel="0" collapsed="false">
      <c r="CJ222" s="21" t="str">
        <f aca="false">IF(OR($A222="",LOWER(TRIM($A222))="grand total"),"",IF(SUMPRODUCT(($B222:$CH222&gt;0)*($B$2:$CH$2="H"))&gt;0,1,0))</f>
        <v/>
      </c>
    </row>
    <row r="223" customFormat="false" ht="15" hidden="false" customHeight="false" outlineLevel="0" collapsed="false">
      <c r="CJ223" s="21" t="str">
        <f aca="false">IF(OR($A223="",LOWER(TRIM($A223))="grand total"),"",IF(SUMPRODUCT(($B223:$CH223&gt;0)*($B$2:$CH$2="H"))&gt;0,1,0))</f>
        <v/>
      </c>
    </row>
    <row r="224" customFormat="false" ht="15" hidden="false" customHeight="false" outlineLevel="0" collapsed="false">
      <c r="CJ224" s="21" t="str">
        <f aca="false">IF(OR($A224="",LOWER(TRIM($A224))="grand total"),"",IF(SUMPRODUCT(($B224:$CH224&gt;0)*($B$2:$CH$2="H"))&gt;0,1,0))</f>
        <v/>
      </c>
    </row>
    <row r="225" customFormat="false" ht="15" hidden="false" customHeight="false" outlineLevel="0" collapsed="false">
      <c r="CJ225" s="21" t="str">
        <f aca="false">IF(OR($A225="",LOWER(TRIM($A225))="grand total"),"",IF(SUMPRODUCT(($B225:$CH225&gt;0)*($B$2:$CH$2="H"))&gt;0,1,0))</f>
        <v/>
      </c>
    </row>
    <row r="226" customFormat="false" ht="15" hidden="false" customHeight="false" outlineLevel="0" collapsed="false">
      <c r="CJ226" s="21" t="str">
        <f aca="false">IF(OR($A226="",LOWER(TRIM($A226))="grand total"),"",IF(SUMPRODUCT(($B226:$CH226&gt;0)*($B$2:$CH$2="H"))&gt;0,1,0))</f>
        <v/>
      </c>
    </row>
    <row r="227" customFormat="false" ht="15" hidden="false" customHeight="false" outlineLevel="0" collapsed="false">
      <c r="CJ227" s="21" t="str">
        <f aca="false">IF(OR($A227="",LOWER(TRIM($A227))="grand total"),"",IF(SUMPRODUCT(($B227:$CH227&gt;0)*($B$2:$CH$2="H"))&gt;0,1,0))</f>
        <v/>
      </c>
    </row>
    <row r="228" customFormat="false" ht="15" hidden="false" customHeight="false" outlineLevel="0" collapsed="false">
      <c r="CJ228" s="21" t="str">
        <f aca="false">IF(OR($A228="",LOWER(TRIM($A228))="grand total"),"",IF(SUMPRODUCT(($B228:$CH228&gt;0)*($B$2:$CH$2="H"))&gt;0,1,0))</f>
        <v/>
      </c>
    </row>
    <row r="229" customFormat="false" ht="15" hidden="false" customHeight="false" outlineLevel="0" collapsed="false">
      <c r="CJ229" s="21" t="str">
        <f aca="false">IF(OR($A229="",LOWER(TRIM($A229))="grand total"),"",IF(SUMPRODUCT(($B229:$CH229&gt;0)*($B$2:$CH$2="H"))&gt;0,1,0))</f>
        <v/>
      </c>
    </row>
    <row r="230" customFormat="false" ht="15" hidden="false" customHeight="false" outlineLevel="0" collapsed="false">
      <c r="CJ230" s="21" t="str">
        <f aca="false">IF(OR($A230="",LOWER(TRIM($A230))="grand total"),"",IF(SUMPRODUCT(($B230:$CH230&gt;0)*($B$2:$CH$2="H"))&gt;0,1,0))</f>
        <v/>
      </c>
    </row>
    <row r="231" customFormat="false" ht="15" hidden="false" customHeight="false" outlineLevel="0" collapsed="false">
      <c r="CJ231" s="21" t="str">
        <f aca="false">IF(OR($A231="",LOWER(TRIM($A231))="grand total"),"",IF(SUMPRODUCT(($B231:$CH231&gt;0)*($B$2:$CH$2="H"))&gt;0,1,0))</f>
        <v/>
      </c>
    </row>
    <row r="232" customFormat="false" ht="15" hidden="false" customHeight="false" outlineLevel="0" collapsed="false">
      <c r="CJ232" s="21" t="str">
        <f aca="false">IF(OR($A232="",LOWER(TRIM($A232))="grand total"),"",IF(SUMPRODUCT(($B232:$CH232&gt;0)*($B$2:$CH$2="H"))&gt;0,1,0))</f>
        <v/>
      </c>
    </row>
    <row r="233" customFormat="false" ht="15" hidden="false" customHeight="false" outlineLevel="0" collapsed="false">
      <c r="CJ233" s="21" t="str">
        <f aca="false">IF(OR($A233="",LOWER(TRIM($A233))="grand total"),"",IF(SUMPRODUCT(($B233:$CH233&gt;0)*($B$2:$CH$2="H"))&gt;0,1,0))</f>
        <v/>
      </c>
    </row>
    <row r="234" customFormat="false" ht="15" hidden="false" customHeight="false" outlineLevel="0" collapsed="false">
      <c r="CJ234" s="21" t="str">
        <f aca="false">IF(OR($A234="",LOWER(TRIM($A234))="grand total"),"",IF(SUMPRODUCT(($B234:$CH234&gt;0)*($B$2:$CH$2="H"))&gt;0,1,0))</f>
        <v/>
      </c>
    </row>
    <row r="235" customFormat="false" ht="15" hidden="false" customHeight="false" outlineLevel="0" collapsed="false">
      <c r="CJ235" s="21" t="str">
        <f aca="false">IF(OR($A235="",LOWER(TRIM($A235))="grand total"),"",IF(SUMPRODUCT(($B235:$CH235&gt;0)*($B$2:$CH$2="H"))&gt;0,1,0))</f>
        <v/>
      </c>
    </row>
    <row r="236" customFormat="false" ht="15" hidden="false" customHeight="false" outlineLevel="0" collapsed="false">
      <c r="CJ236" s="21" t="str">
        <f aca="false">IF(OR($A236="",LOWER(TRIM($A236))="grand total"),"",IF(SUMPRODUCT(($B236:$CH236&gt;0)*($B$2:$CH$2="H"))&gt;0,1,0))</f>
        <v/>
      </c>
    </row>
    <row r="237" customFormat="false" ht="15" hidden="false" customHeight="false" outlineLevel="0" collapsed="false">
      <c r="CJ237" s="21" t="str">
        <f aca="false">IF(OR($A237="",LOWER(TRIM($A237))="grand total"),"",IF(SUMPRODUCT(($B237:$CH237&gt;0)*($B$2:$CH$2="H"))&gt;0,1,0))</f>
        <v/>
      </c>
    </row>
    <row r="238" customFormat="false" ht="15" hidden="false" customHeight="false" outlineLevel="0" collapsed="false">
      <c r="CJ238" s="21" t="str">
        <f aca="false">IF(OR($A238="",LOWER(TRIM($A238))="grand total"),"",IF(SUMPRODUCT(($B238:$CH238&gt;0)*($B$2:$CH$2="H"))&gt;0,1,0))</f>
        <v/>
      </c>
    </row>
    <row r="239" customFormat="false" ht="15" hidden="false" customHeight="false" outlineLevel="0" collapsed="false">
      <c r="CJ239" s="21" t="str">
        <f aca="false">IF(OR($A239="",LOWER(TRIM($A239))="grand total"),"",IF(SUMPRODUCT(($B239:$CH239&gt;0)*($B$2:$CH$2="H"))&gt;0,1,0))</f>
        <v/>
      </c>
    </row>
    <row r="240" customFormat="false" ht="15" hidden="false" customHeight="false" outlineLevel="0" collapsed="false">
      <c r="CJ240" s="21" t="str">
        <f aca="false">IF(OR($A240="",LOWER(TRIM($A240))="grand total"),"",IF(SUMPRODUCT(($B240:$CH240&gt;0)*($B$2:$CH$2="H"))&gt;0,1,0))</f>
        <v/>
      </c>
    </row>
    <row r="241" customFormat="false" ht="15" hidden="false" customHeight="false" outlineLevel="0" collapsed="false">
      <c r="CJ241" s="21" t="str">
        <f aca="false">IF(OR($A241="",LOWER(TRIM($A241))="grand total"),"",IF(SUMPRODUCT(($B241:$CH241&gt;0)*($B$2:$CH$2="H"))&gt;0,1,0))</f>
        <v/>
      </c>
    </row>
    <row r="242" customFormat="false" ht="15" hidden="false" customHeight="false" outlineLevel="0" collapsed="false">
      <c r="CJ242" s="21" t="str">
        <f aca="false">IF(OR($A242="",LOWER(TRIM($A242))="grand total"),"",IF(SUMPRODUCT(($B242:$CH242&gt;0)*($B$2:$CH$2="H"))&gt;0,1,0))</f>
        <v/>
      </c>
    </row>
    <row r="243" customFormat="false" ht="15" hidden="false" customHeight="false" outlineLevel="0" collapsed="false">
      <c r="CJ243" s="21" t="str">
        <f aca="false">IF(OR($A243="",LOWER(TRIM($A243))="grand total"),"",IF(SUMPRODUCT(($B243:$CH243&gt;0)*($B$2:$CH$2="H"))&gt;0,1,0))</f>
        <v/>
      </c>
    </row>
    <row r="244" customFormat="false" ht="15" hidden="false" customHeight="false" outlineLevel="0" collapsed="false">
      <c r="CJ244" s="21" t="str">
        <f aca="false">IF(OR($A244="",LOWER(TRIM($A244))="grand total"),"",IF(SUMPRODUCT(($B244:$CH244&gt;0)*($B$2:$CH$2="H"))&gt;0,1,0))</f>
        <v/>
      </c>
    </row>
    <row r="245" customFormat="false" ht="15" hidden="false" customHeight="false" outlineLevel="0" collapsed="false">
      <c r="CJ245" s="21" t="str">
        <f aca="false">IF(OR($A245="",LOWER(TRIM($A245))="grand total"),"",IF(SUMPRODUCT(($B245:$CH245&gt;0)*($B$2:$CH$2="H"))&gt;0,1,0))</f>
        <v/>
      </c>
    </row>
    <row r="246" customFormat="false" ht="15" hidden="false" customHeight="false" outlineLevel="0" collapsed="false">
      <c r="CJ246" s="21" t="str">
        <f aca="false">IF(OR($A246="",LOWER(TRIM($A246))="grand total"),"",IF(SUMPRODUCT(($B246:$CH246&gt;0)*($B$2:$CH$2="H"))&gt;0,1,0))</f>
        <v/>
      </c>
    </row>
    <row r="247" customFormat="false" ht="15" hidden="false" customHeight="false" outlineLevel="0" collapsed="false">
      <c r="CJ247" s="21" t="str">
        <f aca="false">IF(OR($A247="",LOWER(TRIM($A247))="grand total"),"",IF(SUMPRODUCT(($B247:$CH247&gt;0)*($B$2:$CH$2="H"))&gt;0,1,0))</f>
        <v/>
      </c>
    </row>
    <row r="248" customFormat="false" ht="15" hidden="false" customHeight="false" outlineLevel="0" collapsed="false">
      <c r="CJ248" s="21" t="str">
        <f aca="false">IF(OR($A248="",LOWER(TRIM($A248))="grand total"),"",IF(SUMPRODUCT(($B248:$CH248&gt;0)*($B$2:$CH$2="H"))&gt;0,1,0))</f>
        <v/>
      </c>
    </row>
    <row r="249" customFormat="false" ht="15" hidden="false" customHeight="false" outlineLevel="0" collapsed="false">
      <c r="CJ249" s="21" t="str">
        <f aca="false">IF(OR($A249="",LOWER(TRIM($A249))="grand total"),"",IF(SUMPRODUCT(($B249:$CH249&gt;0)*($B$2:$CH$2="H"))&gt;0,1,0))</f>
        <v/>
      </c>
    </row>
    <row r="250" customFormat="false" ht="15" hidden="false" customHeight="false" outlineLevel="0" collapsed="false">
      <c r="CJ250" s="21" t="str">
        <f aca="false">IF(OR($A250="",LOWER(TRIM($A250))="grand total"),"",IF(SUMPRODUCT(($B250:$CH250&gt;0)*($B$2:$CH$2="H"))&gt;0,1,0))</f>
        <v/>
      </c>
    </row>
    <row r="251" customFormat="false" ht="15" hidden="false" customHeight="false" outlineLevel="0" collapsed="false">
      <c r="CJ251" s="21" t="str">
        <f aca="false">IF(OR($A251="",LOWER(TRIM($A251))="grand total"),"",IF(SUMPRODUCT(($B251:$CH251&gt;0)*($B$2:$CH$2="H"))&gt;0,1,0))</f>
        <v/>
      </c>
    </row>
    <row r="252" customFormat="false" ht="15" hidden="false" customHeight="false" outlineLevel="0" collapsed="false">
      <c r="CJ252" s="21" t="str">
        <f aca="false">IF(OR($A252="",LOWER(TRIM($A252))="grand total"),"",IF(SUMPRODUCT(($B252:$CH252&gt;0)*($B$2:$CH$2="H"))&gt;0,1,0))</f>
        <v/>
      </c>
    </row>
    <row r="253" customFormat="false" ht="15" hidden="false" customHeight="false" outlineLevel="0" collapsed="false">
      <c r="CJ253" s="21" t="str">
        <f aca="false">IF(OR($A253="",LOWER(TRIM($A253))="grand total"),"",IF(SUMPRODUCT(($B253:$CH253&gt;0)*($B$2:$CH$2="H"))&gt;0,1,0))</f>
        <v/>
      </c>
    </row>
    <row r="254" customFormat="false" ht="15" hidden="false" customHeight="false" outlineLevel="0" collapsed="false">
      <c r="CJ254" s="21" t="str">
        <f aca="false">IF(OR($A254="",LOWER(TRIM($A254))="grand total"),"",IF(SUMPRODUCT(($B254:$CH254&gt;0)*($B$2:$CH$2="H"))&gt;0,1,0))</f>
        <v/>
      </c>
    </row>
    <row r="255" customFormat="false" ht="15" hidden="false" customHeight="false" outlineLevel="0" collapsed="false">
      <c r="CJ255" s="21" t="str">
        <f aca="false">IF(OR($A255="",LOWER(TRIM($A255))="grand total"),"",IF(SUMPRODUCT(($B255:$CH255&gt;0)*($B$2:$CH$2="H"))&gt;0,1,0))</f>
        <v/>
      </c>
    </row>
    <row r="256" customFormat="false" ht="15" hidden="false" customHeight="false" outlineLevel="0" collapsed="false">
      <c r="CJ256" s="21" t="str">
        <f aca="false">IF(OR($A256="",LOWER(TRIM($A256))="grand total"),"",IF(SUMPRODUCT(($B256:$CH256&gt;0)*($B$2:$CH$2="H"))&gt;0,1,0))</f>
        <v/>
      </c>
    </row>
    <row r="257" customFormat="false" ht="15" hidden="false" customHeight="false" outlineLevel="0" collapsed="false">
      <c r="CJ257" s="21" t="str">
        <f aca="false">IF(OR($A257="",LOWER(TRIM($A257))="grand total"),"",IF(SUMPRODUCT(($B257:$CH257&gt;0)*($B$2:$CH$2="H"))&gt;0,1,0))</f>
        <v/>
      </c>
    </row>
    <row r="258" customFormat="false" ht="15" hidden="false" customHeight="false" outlineLevel="0" collapsed="false">
      <c r="CJ258" s="21" t="str">
        <f aca="false">IF(OR($A258="",LOWER(TRIM($A258))="grand total"),"",IF(SUMPRODUCT(($B258:$CH258&gt;0)*($B$2:$CH$2="H"))&gt;0,1,0))</f>
        <v/>
      </c>
    </row>
    <row r="259" customFormat="false" ht="15" hidden="false" customHeight="false" outlineLevel="0" collapsed="false">
      <c r="CJ259" s="21" t="str">
        <f aca="false">IF(OR($A259="",LOWER(TRIM($A259))="grand total"),"",IF(SUMPRODUCT(($B259:$CH259&gt;0)*($B$2:$CH$2="H"))&gt;0,1,0))</f>
        <v/>
      </c>
    </row>
    <row r="260" customFormat="false" ht="15" hidden="false" customHeight="false" outlineLevel="0" collapsed="false">
      <c r="CJ260" s="21" t="str">
        <f aca="false">IF(OR($A260="",LOWER(TRIM($A260))="grand total"),"",IF(SUMPRODUCT(($B260:$CH260&gt;0)*($B$2:$CH$2="H"))&gt;0,1,0))</f>
        <v/>
      </c>
    </row>
    <row r="261" customFormat="false" ht="15" hidden="false" customHeight="false" outlineLevel="0" collapsed="false">
      <c r="CJ261" s="21" t="str">
        <f aca="false">IF(OR($A261="",LOWER(TRIM($A261))="grand total"),"",IF(SUMPRODUCT(($B261:$CH261&gt;0)*($B$2:$CH$2="H"))&gt;0,1,0))</f>
        <v/>
      </c>
    </row>
    <row r="262" customFormat="false" ht="15" hidden="false" customHeight="false" outlineLevel="0" collapsed="false">
      <c r="CJ262" s="21" t="str">
        <f aca="false">IF(OR($A262="",LOWER(TRIM($A262))="grand total"),"",IF(SUMPRODUCT(($B262:$CH262&gt;0)*($B$2:$CH$2="H"))&gt;0,1,0))</f>
        <v/>
      </c>
    </row>
    <row r="263" customFormat="false" ht="15" hidden="false" customHeight="false" outlineLevel="0" collapsed="false">
      <c r="CJ263" s="21" t="str">
        <f aca="false">IF(OR($A263="",LOWER(TRIM($A263))="grand total"),"",IF(SUMPRODUCT(($B263:$CH263&gt;0)*($B$2:$CH$2="H"))&gt;0,1,0))</f>
        <v/>
      </c>
    </row>
    <row r="264" customFormat="false" ht="15" hidden="false" customHeight="false" outlineLevel="0" collapsed="false">
      <c r="CJ264" s="21" t="str">
        <f aca="false">IF(OR($A264="",LOWER(TRIM($A264))="grand total"),"",IF(SUMPRODUCT(($B264:$CH264&gt;0)*($B$2:$CH$2="H"))&gt;0,1,0))</f>
        <v/>
      </c>
    </row>
    <row r="265" customFormat="false" ht="15" hidden="false" customHeight="false" outlineLevel="0" collapsed="false">
      <c r="CJ265" s="21" t="str">
        <f aca="false">IF(OR($A265="",LOWER(TRIM($A265))="grand total"),"",IF(SUMPRODUCT(($B265:$CH265&gt;0)*($B$2:$CH$2="H"))&gt;0,1,0))</f>
        <v/>
      </c>
    </row>
    <row r="266" customFormat="false" ht="15" hidden="false" customHeight="false" outlineLevel="0" collapsed="false">
      <c r="CJ266" s="21" t="str">
        <f aca="false">IF(OR($A266="",LOWER(TRIM($A266))="grand total"),"",IF(SUMPRODUCT(($B266:$CH266&gt;0)*($B$2:$CH$2="H"))&gt;0,1,0))</f>
        <v/>
      </c>
    </row>
    <row r="267" customFormat="false" ht="15" hidden="false" customHeight="false" outlineLevel="0" collapsed="false">
      <c r="CJ267" s="21" t="str">
        <f aca="false">IF(OR($A267="",LOWER(TRIM($A267))="grand total"),"",IF(SUMPRODUCT(($B267:$CH267&gt;0)*($B$2:$CH$2="H"))&gt;0,1,0))</f>
        <v/>
      </c>
    </row>
    <row r="268" customFormat="false" ht="15" hidden="false" customHeight="false" outlineLevel="0" collapsed="false">
      <c r="CJ268" s="21" t="str">
        <f aca="false">IF(OR($A268="",LOWER(TRIM($A268))="grand total"),"",IF(SUMPRODUCT(($B268:$CH268&gt;0)*($B$2:$CH$2="H"))&gt;0,1,0))</f>
        <v/>
      </c>
    </row>
    <row r="269" customFormat="false" ht="15" hidden="false" customHeight="false" outlineLevel="0" collapsed="false">
      <c r="CJ269" s="21" t="str">
        <f aca="false">IF(OR($A269="",LOWER(TRIM($A269))="grand total"),"",IF(SUMPRODUCT(($B269:$CH269&gt;0)*($B$2:$CH$2="H"))&gt;0,1,0))</f>
        <v/>
      </c>
    </row>
    <row r="270" customFormat="false" ht="15" hidden="false" customHeight="false" outlineLevel="0" collapsed="false">
      <c r="CJ270" s="21" t="str">
        <f aca="false">IF(OR($A270="",LOWER(TRIM($A270))="grand total"),"",IF(SUMPRODUCT(($B270:$CH270&gt;0)*($B$2:$CH$2="H"))&gt;0,1,0))</f>
        <v/>
      </c>
    </row>
    <row r="271" customFormat="false" ht="15" hidden="false" customHeight="false" outlineLevel="0" collapsed="false">
      <c r="CJ271" s="21" t="str">
        <f aca="false">IF(OR($A271="",LOWER(TRIM($A271))="grand total"),"",IF(SUMPRODUCT(($B271:$CH271&gt;0)*($B$2:$CH$2="H"))&gt;0,1,0))</f>
        <v/>
      </c>
    </row>
    <row r="272" customFormat="false" ht="15" hidden="false" customHeight="false" outlineLevel="0" collapsed="false">
      <c r="CJ272" s="21" t="str">
        <f aca="false">IF(OR($A272="",LOWER(TRIM($A272))="grand total"),"",IF(SUMPRODUCT(($B272:$CH272&gt;0)*($B$2:$CH$2="H"))&gt;0,1,0))</f>
        <v/>
      </c>
    </row>
    <row r="273" customFormat="false" ht="15" hidden="false" customHeight="false" outlineLevel="0" collapsed="false">
      <c r="CJ273" s="21" t="str">
        <f aca="false">IF(OR($A273="",LOWER(TRIM($A273))="grand total"),"",IF(SUMPRODUCT(($B273:$CH273&gt;0)*($B$2:$CH$2="H"))&gt;0,1,0))</f>
        <v/>
      </c>
    </row>
    <row r="274" customFormat="false" ht="15" hidden="false" customHeight="false" outlineLevel="0" collapsed="false">
      <c r="CJ274" s="21" t="str">
        <f aca="false">IF(OR($A274="",LOWER(TRIM($A274))="grand total"),"",IF(SUMPRODUCT(($B274:$CH274&gt;0)*($B$2:$CH$2="H"))&gt;0,1,0))</f>
        <v/>
      </c>
    </row>
    <row r="275" customFormat="false" ht="15" hidden="false" customHeight="false" outlineLevel="0" collapsed="false">
      <c r="CJ275" s="21" t="str">
        <f aca="false">IF(OR($A275="",LOWER(TRIM($A275))="grand total"),"",IF(SUMPRODUCT(($B275:$CH275&gt;0)*($B$2:$CH$2="H"))&gt;0,1,0))</f>
        <v/>
      </c>
    </row>
    <row r="276" customFormat="false" ht="15" hidden="false" customHeight="false" outlineLevel="0" collapsed="false">
      <c r="CJ276" s="21" t="str">
        <f aca="false">IF(OR($A276="",LOWER(TRIM($A276))="grand total"),"",IF(SUMPRODUCT(($B276:$CH276&gt;0)*($B$2:$CH$2="H"))&gt;0,1,0))</f>
        <v/>
      </c>
    </row>
    <row r="277" customFormat="false" ht="15" hidden="false" customHeight="false" outlineLevel="0" collapsed="false">
      <c r="CJ277" s="21" t="str">
        <f aca="false">IF(OR($A277="",LOWER(TRIM($A277))="grand total"),"",IF(SUMPRODUCT(($B277:$CH277&gt;0)*($B$2:$CH$2="H"))&gt;0,1,0))</f>
        <v/>
      </c>
    </row>
    <row r="278" customFormat="false" ht="15" hidden="false" customHeight="false" outlineLevel="0" collapsed="false">
      <c r="CJ278" s="21" t="str">
        <f aca="false">IF(OR($A278="",LOWER(TRIM($A278))="grand total"),"",IF(SUMPRODUCT(($B278:$CH278&gt;0)*($B$2:$CH$2="H"))&gt;0,1,0))</f>
        <v/>
      </c>
    </row>
    <row r="279" customFormat="false" ht="15" hidden="false" customHeight="false" outlineLevel="0" collapsed="false">
      <c r="CJ279" s="21" t="str">
        <f aca="false">IF(OR($A279="",LOWER(TRIM($A279))="grand total"),"",IF(SUMPRODUCT(($B279:$CH279&gt;0)*($B$2:$CH$2="H"))&gt;0,1,0))</f>
        <v/>
      </c>
    </row>
    <row r="280" customFormat="false" ht="15" hidden="false" customHeight="false" outlineLevel="0" collapsed="false">
      <c r="CJ280" s="21" t="str">
        <f aca="false">IF(OR($A280="",LOWER(TRIM($A280))="grand total"),"",IF(SUMPRODUCT(($B280:$CH280&gt;0)*($B$2:$CH$2="H"))&gt;0,1,0))</f>
        <v/>
      </c>
    </row>
    <row r="281" customFormat="false" ht="15" hidden="false" customHeight="false" outlineLevel="0" collapsed="false">
      <c r="CJ281" s="21" t="str">
        <f aca="false">IF(OR($A281="",LOWER(TRIM($A281))="grand total"),"",IF(SUMPRODUCT(($B281:$CH281&gt;0)*($B$2:$CH$2="H"))&gt;0,1,0))</f>
        <v/>
      </c>
    </row>
    <row r="282" customFormat="false" ht="15" hidden="false" customHeight="false" outlineLevel="0" collapsed="false">
      <c r="CJ282" s="21" t="str">
        <f aca="false">IF(OR($A282="",LOWER(TRIM($A282))="grand total"),"",IF(SUMPRODUCT(($B282:$CH282&gt;0)*($B$2:$CH$2="H"))&gt;0,1,0))</f>
        <v/>
      </c>
    </row>
    <row r="283" customFormat="false" ht="15" hidden="false" customHeight="false" outlineLevel="0" collapsed="false">
      <c r="CJ283" s="21" t="str">
        <f aca="false">IF(OR($A283="",LOWER(TRIM($A283))="grand total"),"",IF(SUMPRODUCT(($B283:$CH283&gt;0)*($B$2:$CH$2="H"))&gt;0,1,0))</f>
        <v/>
      </c>
    </row>
    <row r="284" customFormat="false" ht="15" hidden="false" customHeight="false" outlineLevel="0" collapsed="false">
      <c r="CJ284" s="21" t="str">
        <f aca="false">IF(OR($A284="",LOWER(TRIM($A284))="grand total"),"",IF(SUMPRODUCT(($B284:$CH284&gt;0)*($B$2:$CH$2="H"))&gt;0,1,0))</f>
        <v/>
      </c>
    </row>
    <row r="285" customFormat="false" ht="15" hidden="false" customHeight="false" outlineLevel="0" collapsed="false">
      <c r="CJ285" s="21" t="str">
        <f aca="false">IF(OR($A285="",LOWER(TRIM($A285))="grand total"),"",IF(SUMPRODUCT(($B285:$CH285&gt;0)*($B$2:$CH$2="H"))&gt;0,1,0))</f>
        <v/>
      </c>
    </row>
    <row r="286" customFormat="false" ht="15" hidden="false" customHeight="false" outlineLevel="0" collapsed="false">
      <c r="CJ286" s="21" t="str">
        <f aca="false">IF(OR($A286="",LOWER(TRIM($A286))="grand total"),"",IF(SUMPRODUCT(($B286:$CH286&gt;0)*($B$2:$CH$2="H"))&gt;0,1,0))</f>
        <v/>
      </c>
    </row>
    <row r="287" customFormat="false" ht="15" hidden="false" customHeight="false" outlineLevel="0" collapsed="false">
      <c r="CJ287" s="21" t="str">
        <f aca="false">IF(OR($A287="",LOWER(TRIM($A287))="grand total"),"",IF(SUMPRODUCT(($B287:$CH287&gt;0)*($B$2:$CH$2="H"))&gt;0,1,0))</f>
        <v/>
      </c>
    </row>
    <row r="288" customFormat="false" ht="15" hidden="false" customHeight="false" outlineLevel="0" collapsed="false">
      <c r="CJ288" s="21" t="str">
        <f aca="false">IF(OR($A288="",LOWER(TRIM($A288))="grand total"),"",IF(SUMPRODUCT(($B288:$CH288&gt;0)*($B$2:$CH$2="H"))&gt;0,1,0))</f>
        <v/>
      </c>
    </row>
    <row r="289" customFormat="false" ht="15" hidden="false" customHeight="false" outlineLevel="0" collapsed="false">
      <c r="CJ289" s="21" t="str">
        <f aca="false">IF(OR($A289="",LOWER(TRIM($A289))="grand total"),"",IF(SUMPRODUCT(($B289:$CH289&gt;0)*($B$2:$CH$2="H"))&gt;0,1,0))</f>
        <v/>
      </c>
    </row>
    <row r="290" customFormat="false" ht="15" hidden="false" customHeight="false" outlineLevel="0" collapsed="false">
      <c r="CJ290" s="21" t="str">
        <f aca="false">IF(OR($A290="",LOWER(TRIM($A290))="grand total"),"",IF(SUMPRODUCT(($B290:$CH290&gt;0)*($B$2:$CH$2="H"))&gt;0,1,0))</f>
        <v/>
      </c>
    </row>
    <row r="291" customFormat="false" ht="15" hidden="false" customHeight="false" outlineLevel="0" collapsed="false">
      <c r="CJ291" s="21" t="str">
        <f aca="false">IF(OR($A291="",LOWER(TRIM($A291))="grand total"),"",IF(SUMPRODUCT(($B291:$CH291&gt;0)*($B$2:$CH$2="H"))&gt;0,1,0))</f>
        <v/>
      </c>
    </row>
    <row r="292" customFormat="false" ht="15" hidden="false" customHeight="false" outlineLevel="0" collapsed="false">
      <c r="CJ292" s="21" t="str">
        <f aca="false">IF(OR($A292="",LOWER(TRIM($A292))="grand total"),"",IF(SUMPRODUCT(($B292:$CH292&gt;0)*($B$2:$CH$2="H"))&gt;0,1,0))</f>
        <v/>
      </c>
    </row>
    <row r="293" customFormat="false" ht="15" hidden="false" customHeight="false" outlineLevel="0" collapsed="false">
      <c r="CJ293" s="21" t="str">
        <f aca="false">IF(OR($A293="",LOWER(TRIM($A293))="grand total"),"",IF(SUMPRODUCT(($B293:$CH293&gt;0)*($B$2:$CH$2="H"))&gt;0,1,0))</f>
        <v/>
      </c>
    </row>
    <row r="294" customFormat="false" ht="15" hidden="false" customHeight="false" outlineLevel="0" collapsed="false">
      <c r="CJ294" s="21" t="str">
        <f aca="false">IF(OR($A294="",LOWER(TRIM($A294))="grand total"),"",IF(SUMPRODUCT(($B294:$CH294&gt;0)*($B$2:$CH$2="H"))&gt;0,1,0))</f>
        <v/>
      </c>
    </row>
    <row r="295" customFormat="false" ht="15" hidden="false" customHeight="false" outlineLevel="0" collapsed="false">
      <c r="CJ295" s="21" t="str">
        <f aca="false">IF(OR($A295="",LOWER(TRIM($A295))="grand total"),"",IF(SUMPRODUCT(($B295:$CH295&gt;0)*($B$2:$CH$2="H"))&gt;0,1,0))</f>
        <v/>
      </c>
    </row>
    <row r="296" customFormat="false" ht="15" hidden="false" customHeight="false" outlineLevel="0" collapsed="false">
      <c r="CJ296" s="21" t="str">
        <f aca="false">IF(OR($A296="",LOWER(TRIM($A296))="grand total"),"",IF(SUMPRODUCT(($B296:$CH296&gt;0)*($B$2:$CH$2="H"))&gt;0,1,0))</f>
        <v/>
      </c>
    </row>
    <row r="297" customFormat="false" ht="15" hidden="false" customHeight="false" outlineLevel="0" collapsed="false">
      <c r="CJ297" s="21" t="str">
        <f aca="false">IF(OR($A297="",LOWER(TRIM($A297))="grand total"),"",IF(SUMPRODUCT(($B297:$CH297&gt;0)*($B$2:$CH$2="H"))&gt;0,1,0))</f>
        <v/>
      </c>
    </row>
    <row r="298" customFormat="false" ht="15" hidden="false" customHeight="false" outlineLevel="0" collapsed="false">
      <c r="CJ298" s="21" t="str">
        <f aca="false">IF(OR($A298="",LOWER(TRIM($A298))="grand total"),"",IF(SUMPRODUCT(($B298:$CH298&gt;0)*($B$2:$CH$2="H"))&gt;0,1,0))</f>
        <v/>
      </c>
    </row>
    <row r="299" customFormat="false" ht="15" hidden="false" customHeight="false" outlineLevel="0" collapsed="false">
      <c r="CJ299" s="21" t="str">
        <f aca="false">IF(OR($A299="",LOWER(TRIM($A299))="grand total"),"",IF(SUMPRODUCT(($B299:$CH299&gt;0)*($B$2:$CH$2="H"))&gt;0,1,0))</f>
        <v/>
      </c>
    </row>
    <row r="300" customFormat="false" ht="15" hidden="false" customHeight="false" outlineLevel="0" collapsed="false">
      <c r="CJ300" s="21" t="str">
        <f aca="false">IF(OR($A300="",LOWER(TRIM($A300))="grand total"),"",IF(SUMPRODUCT(($B300:$CH300&gt;0)*($B$2:$CH$2="H"))&gt;0,1,0))</f>
        <v/>
      </c>
    </row>
    <row r="301" customFormat="false" ht="15" hidden="false" customHeight="false" outlineLevel="0" collapsed="false">
      <c r="CJ301" s="21" t="str">
        <f aca="false">IF(OR($A301="",LOWER(TRIM($A301))="grand total"),"",IF(SUMPRODUCT(($B301:$CH301&gt;0)*($B$2:$CH$2="H"))&gt;0,1,0))</f>
        <v/>
      </c>
    </row>
    <row r="302" customFormat="false" ht="15" hidden="false" customHeight="false" outlineLevel="0" collapsed="false">
      <c r="CJ302" s="21" t="str">
        <f aca="false">IF(OR($A302="",LOWER(TRIM($A302))="grand total"),"",IF(SUMPRODUCT(($B302:$CH302&gt;0)*($B$2:$CH$2="H"))&gt;0,1,0))</f>
        <v/>
      </c>
    </row>
    <row r="303" customFormat="false" ht="15" hidden="false" customHeight="false" outlineLevel="0" collapsed="false">
      <c r="CJ303" s="21" t="str">
        <f aca="false">IF(OR($A303="",LOWER(TRIM($A303))="grand total"),"",IF(SUMPRODUCT(($B303:$CH303&gt;0)*($B$2:$CH$2="H"))&gt;0,1,0))</f>
        <v/>
      </c>
    </row>
    <row r="305" customFormat="false" ht="15" hidden="false" customHeight="false" outlineLevel="0" collapsed="false">
      <c r="A305" s="8" t="s">
        <v>263</v>
      </c>
      <c r="B305" s="21" t="n">
        <f aca="false">IF(B1=0,0,IF(COUNTIF(B4:B303,"&gt;0")&gt;0,1,0))</f>
        <v>0</v>
      </c>
      <c r="C305" s="21" t="n">
        <f aca="false">IF(C1=0,0,IF(COUNTIF(C4:C303,"&gt;0")&gt;0,1,0))</f>
        <v>0</v>
      </c>
      <c r="D305" s="21" t="n">
        <f aca="false">IF(D1=0,0,IF(COUNTIF(D4:D303,"&gt;0")&gt;0,1,0))</f>
        <v>0</v>
      </c>
      <c r="E305" s="21" t="n">
        <f aca="false">IF(E1=0,0,IF(COUNTIF(E4:E303,"&gt;0")&gt;0,1,0))</f>
        <v>0</v>
      </c>
      <c r="F305" s="21" t="n">
        <f aca="false">IF(F1=0,0,IF(COUNTIF(F4:F303,"&gt;0")&gt;0,1,0))</f>
        <v>0</v>
      </c>
      <c r="G305" s="21" t="n">
        <f aca="false">IF(G1=0,0,IF(COUNTIF(G4:G303,"&gt;0")&gt;0,1,0))</f>
        <v>0</v>
      </c>
      <c r="H305" s="21" t="n">
        <f aca="false">IF(H1=0,0,IF(COUNTIF(H4:H303,"&gt;0")&gt;0,1,0))</f>
        <v>0</v>
      </c>
      <c r="I305" s="21" t="n">
        <f aca="false">IF(I1=0,0,IF(COUNTIF(I4:I303,"&gt;0")&gt;0,1,0))</f>
        <v>0</v>
      </c>
      <c r="J305" s="21" t="n">
        <f aca="false">IF(J1=0,0,IF(COUNTIF(J4:J303,"&gt;0")&gt;0,1,0))</f>
        <v>0</v>
      </c>
      <c r="K305" s="21" t="n">
        <f aca="false">IF(K1=0,0,IF(COUNTIF(K4:K303,"&gt;0")&gt;0,1,0))</f>
        <v>0</v>
      </c>
      <c r="L305" s="21" t="n">
        <f aca="false">IF(L1=0,0,IF(COUNTIF(L4:L303,"&gt;0")&gt;0,1,0))</f>
        <v>0</v>
      </c>
      <c r="M305" s="21" t="n">
        <f aca="false">IF(M1=0,0,IF(COUNTIF(M4:M303,"&gt;0")&gt;0,1,0))</f>
        <v>0</v>
      </c>
      <c r="N305" s="21" t="n">
        <f aca="false">IF(N1=0,0,IF(COUNTIF(N4:N303,"&gt;0")&gt;0,1,0))</f>
        <v>0</v>
      </c>
      <c r="O305" s="21" t="n">
        <f aca="false">IF(O1=0,0,IF(COUNTIF(O4:O303,"&gt;0")&gt;0,1,0))</f>
        <v>0</v>
      </c>
      <c r="P305" s="21" t="n">
        <f aca="false">IF(P1=0,0,IF(COUNTIF(P4:P303,"&gt;0")&gt;0,1,0))</f>
        <v>0</v>
      </c>
      <c r="Q305" s="21" t="n">
        <f aca="false">IF(Q1=0,0,IF(COUNTIF(Q4:Q303,"&gt;0")&gt;0,1,0))</f>
        <v>0</v>
      </c>
      <c r="R305" s="21" t="n">
        <f aca="false">IF(R1=0,0,IF(COUNTIF(R4:R303,"&gt;0")&gt;0,1,0))</f>
        <v>0</v>
      </c>
      <c r="S305" s="21" t="n">
        <f aca="false">IF(S1=0,0,IF(COUNTIF(S4:S303,"&gt;0")&gt;0,1,0))</f>
        <v>0</v>
      </c>
      <c r="T305" s="21" t="n">
        <f aca="false">IF(T1=0,0,IF(COUNTIF(T4:T303,"&gt;0")&gt;0,1,0))</f>
        <v>0</v>
      </c>
      <c r="U305" s="21" t="n">
        <f aca="false">IF(U1=0,0,IF(COUNTIF(U4:U303,"&gt;0")&gt;0,1,0))</f>
        <v>0</v>
      </c>
      <c r="V305" s="21" t="n">
        <f aca="false">IF(V1=0,0,IF(COUNTIF(V4:V303,"&gt;0")&gt;0,1,0))</f>
        <v>0</v>
      </c>
      <c r="W305" s="21" t="n">
        <f aca="false">IF(W1=0,0,IF(COUNTIF(W4:W303,"&gt;0")&gt;0,1,0))</f>
        <v>0</v>
      </c>
      <c r="X305" s="21" t="n">
        <f aca="false">IF(X1=0,0,IF(COUNTIF(X4:X303,"&gt;0")&gt;0,1,0))</f>
        <v>0</v>
      </c>
      <c r="Y305" s="21" t="n">
        <f aca="false">IF(Y1=0,0,IF(COUNTIF(Y4:Y303,"&gt;0")&gt;0,1,0))</f>
        <v>0</v>
      </c>
      <c r="Z305" s="21" t="n">
        <f aca="false">IF(Z1=0,0,IF(COUNTIF(Z4:Z303,"&gt;0")&gt;0,1,0))</f>
        <v>0</v>
      </c>
      <c r="AA305" s="21" t="n">
        <f aca="false">IF(AA1=0,0,IF(COUNTIF(AA4:AA303,"&gt;0")&gt;0,1,0))</f>
        <v>0</v>
      </c>
      <c r="AB305" s="21" t="n">
        <f aca="false">IF(AB1=0,0,IF(COUNTIF(AB4:AB303,"&gt;0")&gt;0,1,0))</f>
        <v>0</v>
      </c>
      <c r="AC305" s="21" t="n">
        <f aca="false">IF(AC1=0,0,IF(COUNTIF(AC4:AC303,"&gt;0")&gt;0,1,0))</f>
        <v>0</v>
      </c>
      <c r="AD305" s="21" t="n">
        <f aca="false">IF(AD1=0,0,IF(COUNTIF(AD4:AD303,"&gt;0")&gt;0,1,0))</f>
        <v>0</v>
      </c>
      <c r="AE305" s="21" t="n">
        <f aca="false">IF(AE1=0,0,IF(COUNTIF(AE4:AE303,"&gt;0")&gt;0,1,0))</f>
        <v>0</v>
      </c>
      <c r="AF305" s="21" t="n">
        <f aca="false">IF(AF1=0,0,IF(COUNTIF(AF4:AF303,"&gt;0")&gt;0,1,0))</f>
        <v>0</v>
      </c>
      <c r="AG305" s="21" t="n">
        <f aca="false">IF(AG1=0,0,IF(COUNTIF(AG4:AG303,"&gt;0")&gt;0,1,0))</f>
        <v>0</v>
      </c>
      <c r="AH305" s="21" t="n">
        <f aca="false">IF(AH1=0,0,IF(COUNTIF(AH4:AH303,"&gt;0")&gt;0,1,0))</f>
        <v>0</v>
      </c>
      <c r="AI305" s="21" t="n">
        <f aca="false">IF(AI1=0,0,IF(COUNTIF(AI4:AI303,"&gt;0")&gt;0,1,0))</f>
        <v>0</v>
      </c>
      <c r="AJ305" s="21" t="n">
        <f aca="false">IF(AJ1=0,0,IF(COUNTIF(AJ4:AJ303,"&gt;0")&gt;0,1,0))</f>
        <v>0</v>
      </c>
      <c r="AK305" s="21" t="n">
        <f aca="false">IF(AK1=0,0,IF(COUNTIF(AK4:AK303,"&gt;0")&gt;0,1,0))</f>
        <v>0</v>
      </c>
      <c r="AL305" s="21" t="n">
        <f aca="false">IF(AL1=0,0,IF(COUNTIF(AL4:AL303,"&gt;0")&gt;0,1,0))</f>
        <v>0</v>
      </c>
      <c r="AM305" s="21" t="n">
        <f aca="false">IF(AM1=0,0,IF(COUNTIF(AM4:AM303,"&gt;0")&gt;0,1,0))</f>
        <v>0</v>
      </c>
      <c r="AN305" s="21" t="n">
        <f aca="false">IF(AN1=0,0,IF(COUNTIF(AN4:AN303,"&gt;0")&gt;0,1,0))</f>
        <v>0</v>
      </c>
      <c r="AO305" s="21" t="n">
        <f aca="false">IF(AO1=0,0,IF(COUNTIF(AO4:AO303,"&gt;0")&gt;0,1,0))</f>
        <v>0</v>
      </c>
      <c r="AP305" s="21" t="n">
        <f aca="false">IF(AP1=0,0,IF(COUNTIF(AP4:AP303,"&gt;0")&gt;0,1,0))</f>
        <v>0</v>
      </c>
      <c r="AQ305" s="21" t="n">
        <f aca="false">IF(AQ1=0,0,IF(COUNTIF(AQ4:AQ303,"&gt;0")&gt;0,1,0))</f>
        <v>0</v>
      </c>
      <c r="AR305" s="21" t="n">
        <f aca="false">IF(AR1=0,0,IF(COUNTIF(AR4:AR303,"&gt;0")&gt;0,1,0))</f>
        <v>0</v>
      </c>
      <c r="AS305" s="21" t="n">
        <f aca="false">IF(AS1=0,0,IF(COUNTIF(AS4:AS303,"&gt;0")&gt;0,1,0))</f>
        <v>0</v>
      </c>
      <c r="AT305" s="21" t="n">
        <f aca="false">IF(AT1=0,0,IF(COUNTIF(AT4:AT303,"&gt;0")&gt;0,1,0))</f>
        <v>0</v>
      </c>
      <c r="AU305" s="21" t="n">
        <f aca="false">IF(AU1=0,0,IF(COUNTIF(AU4:AU303,"&gt;0")&gt;0,1,0))</f>
        <v>0</v>
      </c>
      <c r="AV305" s="21" t="n">
        <f aca="false">IF(AV1=0,0,IF(COUNTIF(AV4:AV303,"&gt;0")&gt;0,1,0))</f>
        <v>0</v>
      </c>
      <c r="AW305" s="21" t="n">
        <f aca="false">IF(AW1=0,0,IF(COUNTIF(AW4:AW303,"&gt;0")&gt;0,1,0))</f>
        <v>0</v>
      </c>
      <c r="AX305" s="21" t="n">
        <f aca="false">IF(AX1=0,0,IF(COUNTIF(AX4:AX303,"&gt;0")&gt;0,1,0))</f>
        <v>0</v>
      </c>
      <c r="AY305" s="21" t="n">
        <f aca="false">IF(AY1=0,0,IF(COUNTIF(AY4:AY303,"&gt;0")&gt;0,1,0))</f>
        <v>0</v>
      </c>
      <c r="AZ305" s="21" t="n">
        <f aca="false">IF(AZ1=0,0,IF(COUNTIF(AZ4:AZ303,"&gt;0")&gt;0,1,0))</f>
        <v>0</v>
      </c>
      <c r="BA305" s="21" t="n">
        <f aca="false">IF(BA1=0,0,IF(COUNTIF(BA4:BA303,"&gt;0")&gt;0,1,0))</f>
        <v>0</v>
      </c>
      <c r="BB305" s="21" t="n">
        <f aca="false">IF(BB1=0,0,IF(COUNTIF(BB4:BB303,"&gt;0")&gt;0,1,0))</f>
        <v>0</v>
      </c>
      <c r="BC305" s="21" t="n">
        <f aca="false">IF(BC1=0,0,IF(COUNTIF(BC4:BC303,"&gt;0")&gt;0,1,0))</f>
        <v>0</v>
      </c>
      <c r="BD305" s="21" t="n">
        <f aca="false">IF(BD1=0,0,IF(COUNTIF(BD4:BD303,"&gt;0")&gt;0,1,0))</f>
        <v>0</v>
      </c>
      <c r="BE305" s="21" t="n">
        <f aca="false">IF(BE1=0,0,IF(COUNTIF(BE4:BE303,"&gt;0")&gt;0,1,0))</f>
        <v>0</v>
      </c>
      <c r="BF305" s="21" t="n">
        <f aca="false">IF(BF1=0,0,IF(COUNTIF(BF4:BF303,"&gt;0")&gt;0,1,0))</f>
        <v>0</v>
      </c>
      <c r="BG305" s="21" t="n">
        <f aca="false">IF(BG1=0,0,IF(COUNTIF(BG4:BG303,"&gt;0")&gt;0,1,0))</f>
        <v>0</v>
      </c>
      <c r="BH305" s="21" t="n">
        <f aca="false">IF(BH1=0,0,IF(COUNTIF(BH4:BH303,"&gt;0")&gt;0,1,0))</f>
        <v>0</v>
      </c>
      <c r="BI305" s="21" t="n">
        <f aca="false">IF(BI1=0,0,IF(COUNTIF(BI4:BI303,"&gt;0")&gt;0,1,0))</f>
        <v>0</v>
      </c>
      <c r="BJ305" s="21" t="n">
        <f aca="false">IF(BJ1=0,0,IF(COUNTIF(BJ4:BJ303,"&gt;0")&gt;0,1,0))</f>
        <v>0</v>
      </c>
      <c r="BK305" s="21" t="n">
        <f aca="false">IF(BK1=0,0,IF(COUNTIF(BK4:BK303,"&gt;0")&gt;0,1,0))</f>
        <v>0</v>
      </c>
      <c r="BL305" s="21" t="n">
        <f aca="false">IF(BL1=0,0,IF(COUNTIF(BL4:BL303,"&gt;0")&gt;0,1,0))</f>
        <v>0</v>
      </c>
      <c r="BM305" s="21" t="n">
        <f aca="false">IF(BM1=0,0,IF(COUNTIF(BM4:BM303,"&gt;0")&gt;0,1,0))</f>
        <v>0</v>
      </c>
      <c r="BN305" s="21" t="n">
        <f aca="false">IF(BN1=0,0,IF(COUNTIF(BN4:BN303,"&gt;0")&gt;0,1,0))</f>
        <v>0</v>
      </c>
      <c r="BO305" s="21" t="n">
        <f aca="false">IF(BO1=0,0,IF(COUNTIF(BO4:BO303,"&gt;0")&gt;0,1,0))</f>
        <v>0</v>
      </c>
      <c r="BP305" s="21" t="n">
        <f aca="false">IF(BP1=0,0,IF(COUNTIF(BP4:BP303,"&gt;0")&gt;0,1,0))</f>
        <v>0</v>
      </c>
      <c r="BQ305" s="21" t="n">
        <f aca="false">IF(BQ1=0,0,IF(COUNTIF(BQ4:BQ303,"&gt;0")&gt;0,1,0))</f>
        <v>0</v>
      </c>
      <c r="BR305" s="21" t="n">
        <f aca="false">IF(BR1=0,0,IF(COUNTIF(BR4:BR303,"&gt;0")&gt;0,1,0))</f>
        <v>0</v>
      </c>
      <c r="BS305" s="21" t="n">
        <f aca="false">IF(BS1=0,0,IF(COUNTIF(BS4:BS303,"&gt;0")&gt;0,1,0))</f>
        <v>0</v>
      </c>
      <c r="BT305" s="21" t="n">
        <f aca="false">IF(BT1=0,0,IF(COUNTIF(BT4:BT303,"&gt;0")&gt;0,1,0))</f>
        <v>0</v>
      </c>
      <c r="BU305" s="21" t="n">
        <f aca="false">IF(BU1=0,0,IF(COUNTIF(BU4:BU303,"&gt;0")&gt;0,1,0))</f>
        <v>0</v>
      </c>
      <c r="BV305" s="21" t="n">
        <f aca="false">IF(BV1=0,0,IF(COUNTIF(BV4:BV303,"&gt;0")&gt;0,1,0))</f>
        <v>0</v>
      </c>
      <c r="BW305" s="21" t="n">
        <f aca="false">IF(BW1=0,0,IF(COUNTIF(BW4:BW303,"&gt;0")&gt;0,1,0))</f>
        <v>0</v>
      </c>
      <c r="BX305" s="21" t="n">
        <f aca="false">IF(BX1=0,0,IF(COUNTIF(BX4:BX303,"&gt;0")&gt;0,1,0))</f>
        <v>0</v>
      </c>
      <c r="BY305" s="21" t="n">
        <f aca="false">IF(BY1=0,0,IF(COUNTIF(BY4:BY303,"&gt;0")&gt;0,1,0))</f>
        <v>0</v>
      </c>
      <c r="BZ305" s="21" t="n">
        <f aca="false">IF(BZ1=0,0,IF(COUNTIF(BZ4:BZ303,"&gt;0")&gt;0,1,0))</f>
        <v>0</v>
      </c>
      <c r="CA305" s="21" t="n">
        <f aca="false">IF(CA1=0,0,IF(COUNTIF(CA4:CA303,"&gt;0")&gt;0,1,0))</f>
        <v>0</v>
      </c>
      <c r="CB305" s="21" t="n">
        <f aca="false">IF(CB1=0,0,IF(COUNTIF(CB4:CB303,"&gt;0")&gt;0,1,0))</f>
        <v>0</v>
      </c>
      <c r="CC305" s="21" t="n">
        <f aca="false">IF(CC1=0,0,IF(COUNTIF(CC4:CC303,"&gt;0")&gt;0,1,0))</f>
        <v>0</v>
      </c>
      <c r="CD305" s="21" t="n">
        <f aca="false">IF(CD1=0,0,IF(COUNTIF(CD4:CD303,"&gt;0")&gt;0,1,0))</f>
        <v>0</v>
      </c>
      <c r="CE305" s="21" t="n">
        <f aca="false">IF(CE1=0,0,IF(COUNTIF(CE4:CE303,"&gt;0")&gt;0,1,0))</f>
        <v>0</v>
      </c>
      <c r="CF305" s="21" t="n">
        <f aca="false">IF(CF1=0,0,IF(COUNTIF(CF4:CF303,"&gt;0")&gt;0,1,0))</f>
        <v>0</v>
      </c>
      <c r="CG305" s="21" t="n">
        <f aca="false">IF(CG1=0,0,IF(COUNTIF(CG4:CG303,"&gt;0")&gt;0,1,0))</f>
        <v>0</v>
      </c>
      <c r="CH305" s="21" t="n">
        <f aca="false">IF(CH1=0,0,IF(COUNTIF(CH4:CH303,"&gt;0")&gt;0,1,0))</f>
        <v>0</v>
      </c>
    </row>
    <row r="306" customFormat="false" ht="15" hidden="false" customHeight="false" outlineLevel="0" collapsed="false">
      <c r="A306" s="8" t="s">
        <v>264</v>
      </c>
      <c r="B306" s="21" t="n">
        <f aca="false">B305*B1</f>
        <v>0</v>
      </c>
      <c r="C306" s="21" t="n">
        <f aca="false">C305*C1</f>
        <v>0</v>
      </c>
      <c r="D306" s="21" t="n">
        <f aca="false">D305*D1</f>
        <v>0</v>
      </c>
      <c r="E306" s="21" t="n">
        <f aca="false">E305*E1</f>
        <v>0</v>
      </c>
      <c r="F306" s="21" t="n">
        <f aca="false">F305*F1</f>
        <v>0</v>
      </c>
      <c r="G306" s="21" t="n">
        <f aca="false">G305*G1</f>
        <v>0</v>
      </c>
      <c r="H306" s="21" t="n">
        <f aca="false">H305*H1</f>
        <v>0</v>
      </c>
      <c r="I306" s="21" t="n">
        <f aca="false">I305*I1</f>
        <v>0</v>
      </c>
      <c r="J306" s="21" t="n">
        <f aca="false">J305*J1</f>
        <v>0</v>
      </c>
      <c r="K306" s="21" t="n">
        <f aca="false">K305*K1</f>
        <v>0</v>
      </c>
      <c r="L306" s="21" t="n">
        <f aca="false">L305*L1</f>
        <v>0</v>
      </c>
      <c r="M306" s="21" t="n">
        <f aca="false">M305*M1</f>
        <v>0</v>
      </c>
      <c r="N306" s="21" t="n">
        <f aca="false">N305*N1</f>
        <v>0</v>
      </c>
      <c r="O306" s="21" t="n">
        <f aca="false">O305*O1</f>
        <v>0</v>
      </c>
      <c r="P306" s="21" t="n">
        <f aca="false">P305*P1</f>
        <v>0</v>
      </c>
      <c r="Q306" s="21" t="n">
        <f aca="false">Q305*Q1</f>
        <v>0</v>
      </c>
      <c r="R306" s="21" t="n">
        <f aca="false">R305*R1</f>
        <v>0</v>
      </c>
      <c r="S306" s="21" t="n">
        <f aca="false">S305*S1</f>
        <v>0</v>
      </c>
      <c r="T306" s="21" t="n">
        <f aca="false">T305*T1</f>
        <v>0</v>
      </c>
      <c r="U306" s="21" t="n">
        <f aca="false">U305*U1</f>
        <v>0</v>
      </c>
      <c r="V306" s="21" t="n">
        <f aca="false">V305*V1</f>
        <v>0</v>
      </c>
      <c r="W306" s="21" t="n">
        <f aca="false">W305*W1</f>
        <v>0</v>
      </c>
      <c r="X306" s="21" t="n">
        <f aca="false">X305*X1</f>
        <v>0</v>
      </c>
      <c r="Y306" s="21" t="n">
        <f aca="false">Y305*Y1</f>
        <v>0</v>
      </c>
      <c r="Z306" s="21" t="n">
        <f aca="false">Z305*Z1</f>
        <v>0</v>
      </c>
      <c r="AA306" s="21" t="n">
        <f aca="false">AA305*AA1</f>
        <v>0</v>
      </c>
      <c r="AB306" s="21" t="n">
        <f aca="false">AB305*AB1</f>
        <v>0</v>
      </c>
      <c r="AC306" s="21" t="n">
        <f aca="false">AC305*AC1</f>
        <v>0</v>
      </c>
      <c r="AD306" s="21" t="n">
        <f aca="false">AD305*AD1</f>
        <v>0</v>
      </c>
      <c r="AE306" s="21" t="n">
        <f aca="false">AE305*AE1</f>
        <v>0</v>
      </c>
      <c r="AF306" s="21" t="n">
        <f aca="false">AF305*AF1</f>
        <v>0</v>
      </c>
      <c r="AG306" s="21" t="n">
        <f aca="false">AG305*AG1</f>
        <v>0</v>
      </c>
      <c r="AH306" s="21" t="n">
        <f aca="false">AH305*AH1</f>
        <v>0</v>
      </c>
      <c r="AI306" s="21" t="n">
        <f aca="false">AI305*AI1</f>
        <v>0</v>
      </c>
      <c r="AJ306" s="21" t="n">
        <f aca="false">AJ305*AJ1</f>
        <v>0</v>
      </c>
      <c r="AK306" s="21" t="n">
        <f aca="false">AK305*AK1</f>
        <v>0</v>
      </c>
      <c r="AL306" s="21" t="n">
        <f aca="false">AL305*AL1</f>
        <v>0</v>
      </c>
      <c r="AM306" s="21" t="n">
        <f aca="false">AM305*AM1</f>
        <v>0</v>
      </c>
      <c r="AN306" s="21" t="n">
        <f aca="false">AN305*AN1</f>
        <v>0</v>
      </c>
      <c r="AO306" s="21" t="n">
        <f aca="false">AO305*AO1</f>
        <v>0</v>
      </c>
      <c r="AP306" s="21" t="n">
        <f aca="false">AP305*AP1</f>
        <v>0</v>
      </c>
      <c r="AQ306" s="21" t="n">
        <f aca="false">AQ305*AQ1</f>
        <v>0</v>
      </c>
      <c r="AR306" s="21" t="n">
        <f aca="false">AR305*AR1</f>
        <v>0</v>
      </c>
      <c r="AS306" s="21" t="n">
        <f aca="false">AS305*AS1</f>
        <v>0</v>
      </c>
      <c r="AT306" s="21" t="n">
        <f aca="false">AT305*AT1</f>
        <v>0</v>
      </c>
      <c r="AU306" s="21" t="n">
        <f aca="false">AU305*AU1</f>
        <v>0</v>
      </c>
      <c r="AV306" s="21" t="n">
        <f aca="false">AV305*AV1</f>
        <v>0</v>
      </c>
      <c r="AW306" s="21" t="n">
        <f aca="false">AW305*AW1</f>
        <v>0</v>
      </c>
      <c r="AX306" s="21" t="n">
        <f aca="false">AX305*AX1</f>
        <v>0</v>
      </c>
      <c r="AY306" s="21" t="n">
        <f aca="false">AY305*AY1</f>
        <v>0</v>
      </c>
      <c r="AZ306" s="21" t="n">
        <f aca="false">AZ305*AZ1</f>
        <v>0</v>
      </c>
      <c r="BA306" s="21" t="n">
        <f aca="false">BA305*BA1</f>
        <v>0</v>
      </c>
      <c r="BB306" s="21" t="n">
        <f aca="false">BB305*BB1</f>
        <v>0</v>
      </c>
      <c r="BC306" s="21" t="n">
        <f aca="false">BC305*BC1</f>
        <v>0</v>
      </c>
      <c r="BD306" s="21" t="n">
        <f aca="false">BD305*BD1</f>
        <v>0</v>
      </c>
      <c r="BE306" s="21" t="n">
        <f aca="false">BE305*BE1</f>
        <v>0</v>
      </c>
      <c r="BF306" s="21" t="n">
        <f aca="false">BF305*BF1</f>
        <v>0</v>
      </c>
      <c r="BG306" s="21" t="n">
        <f aca="false">BG305*BG1</f>
        <v>0</v>
      </c>
      <c r="BH306" s="21" t="n">
        <f aca="false">BH305*BH1</f>
        <v>0</v>
      </c>
      <c r="BI306" s="21" t="n">
        <f aca="false">BI305*BI1</f>
        <v>0</v>
      </c>
      <c r="BJ306" s="21" t="n">
        <f aca="false">BJ305*BJ1</f>
        <v>0</v>
      </c>
      <c r="BK306" s="21" t="n">
        <f aca="false">BK305*BK1</f>
        <v>0</v>
      </c>
      <c r="BL306" s="21" t="n">
        <f aca="false">BL305*BL1</f>
        <v>0</v>
      </c>
      <c r="BM306" s="21" t="n">
        <f aca="false">BM305*BM1</f>
        <v>0</v>
      </c>
      <c r="BN306" s="21" t="n">
        <f aca="false">BN305*BN1</f>
        <v>0</v>
      </c>
      <c r="BO306" s="21" t="n">
        <f aca="false">BO305*BO1</f>
        <v>0</v>
      </c>
      <c r="BP306" s="21" t="n">
        <f aca="false">BP305*BP1</f>
        <v>0</v>
      </c>
      <c r="BQ306" s="21" t="n">
        <f aca="false">BQ305*BQ1</f>
        <v>0</v>
      </c>
      <c r="BR306" s="21" t="n">
        <f aca="false">BR305*BR1</f>
        <v>0</v>
      </c>
      <c r="BS306" s="21" t="n">
        <f aca="false">BS305*BS1</f>
        <v>0</v>
      </c>
      <c r="BT306" s="21" t="n">
        <f aca="false">BT305*BT1</f>
        <v>0</v>
      </c>
      <c r="BU306" s="21" t="n">
        <f aca="false">BU305*BU1</f>
        <v>0</v>
      </c>
      <c r="BV306" s="21" t="n">
        <f aca="false">BV305*BV1</f>
        <v>0</v>
      </c>
      <c r="BW306" s="21" t="n">
        <f aca="false">BW305*BW1</f>
        <v>0</v>
      </c>
      <c r="BX306" s="21" t="n">
        <f aca="false">BX305*BX1</f>
        <v>0</v>
      </c>
      <c r="BY306" s="21" t="n">
        <f aca="false">BY305*BY1</f>
        <v>0</v>
      </c>
      <c r="BZ306" s="21" t="n">
        <f aca="false">BZ305*BZ1</f>
        <v>0</v>
      </c>
      <c r="CA306" s="21" t="n">
        <f aca="false">CA305*CA1</f>
        <v>0</v>
      </c>
      <c r="CB306" s="21" t="n">
        <f aca="false">CB305*CB1</f>
        <v>0</v>
      </c>
      <c r="CC306" s="21" t="n">
        <f aca="false">CC305*CC1</f>
        <v>0</v>
      </c>
      <c r="CD306" s="21" t="n">
        <f aca="false">CD305*CD1</f>
        <v>0</v>
      </c>
      <c r="CE306" s="21" t="n">
        <f aca="false">CE305*CE1</f>
        <v>0</v>
      </c>
      <c r="CF306" s="21" t="n">
        <f aca="false">CF305*CF1</f>
        <v>0</v>
      </c>
      <c r="CG306" s="21" t="n">
        <f aca="false">CG305*CG1</f>
        <v>0</v>
      </c>
      <c r="CH306" s="21" t="n">
        <f aca="false">CH305*CH1</f>
        <v>0</v>
      </c>
    </row>
    <row r="309" customFormat="false" ht="15" hidden="false" customHeight="false" outlineLevel="0" collapsed="false">
      <c r="A309" s="6" t="s">
        <v>265</v>
      </c>
      <c r="B309" s="7"/>
      <c r="C309" s="7"/>
    </row>
    <row r="310" customFormat="false" ht="15" hidden="false" customHeight="false" outlineLevel="0" collapsed="false">
      <c r="A310" s="8" t="s">
        <v>266</v>
      </c>
      <c r="B310" s="16" t="n">
        <f aca="false">SUM(B306:CH306)</f>
        <v>0</v>
      </c>
    </row>
    <row r="311" customFormat="false" ht="15" hidden="false" customHeight="false" outlineLevel="0" collapsed="false">
      <c r="A311" s="8" t="s">
        <v>267</v>
      </c>
      <c r="B311" s="24" t="n">
        <v>139</v>
      </c>
    </row>
    <row r="312" customFormat="false" ht="15" hidden="false" customHeight="false" outlineLevel="0" collapsed="false">
      <c r="A312" s="8" t="s">
        <v>268</v>
      </c>
      <c r="B312" s="25" t="n">
        <f aca="false">1-(B310/B311)</f>
        <v>1</v>
      </c>
    </row>
    <row r="313" customFormat="false" ht="15" hidden="false" customHeight="false" outlineLevel="0" collapsed="false">
      <c r="A313" s="13" t="s">
        <v>269</v>
      </c>
      <c r="B313" s="14" t="n">
        <f aca="false">MIN(1,MAX(0,ROUND(B312,2)))</f>
        <v>1</v>
      </c>
    </row>
    <row r="315" customFormat="false" ht="15" hidden="false" customHeight="false" outlineLevel="0" collapsed="false">
      <c r="A315" s="8" t="s">
        <v>270</v>
      </c>
      <c r="B315" s="26" t="n">
        <f aca="false">Calculator!$B$6</f>
        <v>55</v>
      </c>
    </row>
    <row r="316" customFormat="false" ht="15" hidden="false" customHeight="false" outlineLevel="0" collapsed="false">
      <c r="A316" s="8" t="s">
        <v>271</v>
      </c>
      <c r="B316" s="16" t="n">
        <f aca="false">SUM(CJ4:CJ303)</f>
        <v>0</v>
      </c>
    </row>
    <row r="317" customFormat="false" ht="15" hidden="false" customHeight="false" outlineLevel="0" collapsed="false">
      <c r="A317" s="8" t="s">
        <v>272</v>
      </c>
      <c r="B317" s="25" t="n">
        <f aca="false">1-(B316/B315)</f>
        <v>1</v>
      </c>
    </row>
    <row r="318" customFormat="false" ht="15" hidden="false" customHeight="false" outlineLevel="0" collapsed="false">
      <c r="A318" s="13" t="s">
        <v>273</v>
      </c>
      <c r="B318" s="14" t="n">
        <f aca="false">MIN(1,MAX(0,ROUND(B317,2)))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U1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121" min="2" style="0" width="9"/>
    <col collapsed="false" customWidth="true" hidden="false" outlineLevel="0" max="124" min="123" style="0" width="10"/>
    <col collapsed="false" customWidth="true" hidden="false" outlineLevel="0" max="125" min="125" style="0" width="16"/>
  </cols>
  <sheetData>
    <row r="1" customFormat="false" ht="17.35" hidden="false" customHeight="false" outlineLevel="0" collapsed="false">
      <c r="A1" s="1" t="s">
        <v>274</v>
      </c>
    </row>
    <row r="2" customFormat="false" ht="39.75" hidden="false" customHeight="true" outlineLevel="0" collapsed="false">
      <c r="A2" s="3" t="s">
        <v>275</v>
      </c>
      <c r="B2" s="27" t="s">
        <v>64</v>
      </c>
      <c r="C2" s="15" t="s">
        <v>276</v>
      </c>
      <c r="D2" s="15"/>
      <c r="E2" s="15"/>
      <c r="F2" s="15"/>
      <c r="G2" s="15"/>
      <c r="H2" s="15"/>
      <c r="I2" s="15"/>
      <c r="J2" s="15"/>
    </row>
    <row r="3" customFormat="false" ht="15" hidden="false" customHeight="false" outlineLevel="0" collapsed="false">
      <c r="A3" s="22" t="s">
        <v>277</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I3" s="23"/>
      <c r="CJ3" s="23"/>
      <c r="CK3" s="23"/>
      <c r="CL3" s="23"/>
      <c r="CM3" s="23"/>
      <c r="CN3" s="23"/>
      <c r="CO3" s="23"/>
      <c r="CP3" s="23"/>
      <c r="CQ3" s="23"/>
      <c r="CR3" s="23"/>
      <c r="CS3" s="23"/>
      <c r="CT3" s="23"/>
      <c r="CU3" s="23"/>
      <c r="CV3" s="23"/>
      <c r="CW3" s="23"/>
      <c r="CX3" s="23"/>
      <c r="CY3" s="23"/>
      <c r="CZ3" s="23"/>
      <c r="DA3" s="23"/>
      <c r="DB3" s="23"/>
      <c r="DC3" s="23"/>
      <c r="DD3" s="23"/>
      <c r="DE3" s="23"/>
      <c r="DF3" s="23"/>
      <c r="DG3" s="23"/>
      <c r="DH3" s="23"/>
      <c r="DI3" s="23"/>
      <c r="DJ3" s="23"/>
      <c r="DK3" s="23"/>
      <c r="DL3" s="23"/>
      <c r="DM3" s="23"/>
      <c r="DN3" s="23"/>
      <c r="DO3" s="23"/>
      <c r="DP3" s="23"/>
      <c r="DQ3" s="23"/>
      <c r="DS3" s="18" t="s">
        <v>278</v>
      </c>
      <c r="DT3" s="18" t="s">
        <v>263</v>
      </c>
      <c r="DU3" s="18" t="s">
        <v>264</v>
      </c>
    </row>
    <row r="4" customFormat="false" ht="15" hidden="false" customHeight="false" outlineLevel="0" collapsed="false">
      <c r="DS4" s="21" t="n">
        <f aca="false">IF(OR($A4="",LOWER(TRIM($A4))="grand total",TRIM($A4)="(blank)"),0,IFERROR(INDEX('OCTMS Risk Map'!$C:$C,MATCH($A4,'OCTMS Risk Map'!$A:$A,0)),IF($B$2="H",3,IF($B$2="M",2,1))))</f>
        <v>0</v>
      </c>
      <c r="DT4" s="21" t="str">
        <f aca="false">IF(OR($A4="",LOWER(TRIM($A4))="grand total",TRIM($A4)="(blank)"),"",1)</f>
        <v/>
      </c>
      <c r="DU4" s="21" t="n">
        <f aca="false">IF(DT4="",0,DS4)</f>
        <v>0</v>
      </c>
    </row>
    <row r="5" customFormat="false" ht="15" hidden="false" customHeight="false" outlineLevel="0" collapsed="false">
      <c r="DS5" s="21" t="n">
        <f aca="false">IF(OR($A5="",LOWER(TRIM($A5))="grand total",TRIM($A5)="(blank)"),0,IFERROR(INDEX('OCTMS Risk Map'!$C:$C,MATCH($A5,'OCTMS Risk Map'!$A:$A,0)),IF($B$2="H",3,IF($B$2="M",2,1))))</f>
        <v>0</v>
      </c>
      <c r="DT5" s="21" t="str">
        <f aca="false">IF(OR($A5="",LOWER(TRIM($A5))="grand total",TRIM($A5)="(blank)"),"",1)</f>
        <v/>
      </c>
      <c r="DU5" s="21" t="n">
        <f aca="false">IF(DT5="",0,DS5)</f>
        <v>0</v>
      </c>
    </row>
    <row r="6" customFormat="false" ht="15" hidden="false" customHeight="false" outlineLevel="0" collapsed="false">
      <c r="DS6" s="21" t="n">
        <f aca="false">IF(OR($A6="",LOWER(TRIM($A6))="grand total",TRIM($A6)="(blank)"),0,IFERROR(INDEX('OCTMS Risk Map'!$C:$C,MATCH($A6,'OCTMS Risk Map'!$A:$A,0)),IF($B$2="H",3,IF($B$2="M",2,1))))</f>
        <v>0</v>
      </c>
      <c r="DT6" s="21" t="str">
        <f aca="false">IF(OR($A6="",LOWER(TRIM($A6))="grand total",TRIM($A6)="(blank)"),"",1)</f>
        <v/>
      </c>
      <c r="DU6" s="21" t="n">
        <f aca="false">IF(DT6="",0,DS6)</f>
        <v>0</v>
      </c>
    </row>
    <row r="7" customFormat="false" ht="15" hidden="false" customHeight="false" outlineLevel="0" collapsed="false">
      <c r="DS7" s="21" t="n">
        <f aca="false">IF(OR($A7="",LOWER(TRIM($A7))="grand total",TRIM($A7)="(blank)"),0,IFERROR(INDEX('OCTMS Risk Map'!$C:$C,MATCH($A7,'OCTMS Risk Map'!$A:$A,0)),IF($B$2="H",3,IF($B$2="M",2,1))))</f>
        <v>0</v>
      </c>
      <c r="DT7" s="21" t="str">
        <f aca="false">IF(OR($A7="",LOWER(TRIM($A7))="grand total",TRIM($A7)="(blank)"),"",1)</f>
        <v/>
      </c>
      <c r="DU7" s="21" t="n">
        <f aca="false">IF(DT7="",0,DS7)</f>
        <v>0</v>
      </c>
    </row>
    <row r="8" customFormat="false" ht="15" hidden="false" customHeight="false" outlineLevel="0" collapsed="false">
      <c r="DS8" s="21" t="n">
        <f aca="false">IF(OR($A8="",LOWER(TRIM($A8))="grand total",TRIM($A8)="(blank)"),0,IFERROR(INDEX('OCTMS Risk Map'!$C:$C,MATCH($A8,'OCTMS Risk Map'!$A:$A,0)),IF($B$2="H",3,IF($B$2="M",2,1))))</f>
        <v>0</v>
      </c>
      <c r="DT8" s="21" t="str">
        <f aca="false">IF(OR($A8="",LOWER(TRIM($A8))="grand total",TRIM($A8)="(blank)"),"",1)</f>
        <v/>
      </c>
      <c r="DU8" s="21" t="n">
        <f aca="false">IF(DT8="",0,DS8)</f>
        <v>0</v>
      </c>
    </row>
    <row r="9" customFormat="false" ht="15" hidden="false" customHeight="false" outlineLevel="0" collapsed="false">
      <c r="DS9" s="21" t="n">
        <f aca="false">IF(OR($A9="",LOWER(TRIM($A9))="grand total",TRIM($A9)="(blank)"),0,IFERROR(INDEX('OCTMS Risk Map'!$C:$C,MATCH($A9,'OCTMS Risk Map'!$A:$A,0)),IF($B$2="H",3,IF($B$2="M",2,1))))</f>
        <v>0</v>
      </c>
      <c r="DT9" s="21" t="str">
        <f aca="false">IF(OR($A9="",LOWER(TRIM($A9))="grand total",TRIM($A9)="(blank)"),"",1)</f>
        <v/>
      </c>
      <c r="DU9" s="21" t="n">
        <f aca="false">IF(DT9="",0,DS9)</f>
        <v>0</v>
      </c>
    </row>
    <row r="10" customFormat="false" ht="15" hidden="false" customHeight="false" outlineLevel="0" collapsed="false">
      <c r="DS10" s="21" t="n">
        <f aca="false">IF(OR($A10="",LOWER(TRIM($A10))="grand total",TRIM($A10)="(blank)"),0,IFERROR(INDEX('OCTMS Risk Map'!$C:$C,MATCH($A10,'OCTMS Risk Map'!$A:$A,0)),IF($B$2="H",3,IF($B$2="M",2,1))))</f>
        <v>0</v>
      </c>
      <c r="DT10" s="21" t="str">
        <f aca="false">IF(OR($A10="",LOWER(TRIM($A10))="grand total",TRIM($A10)="(blank)"),"",1)</f>
        <v/>
      </c>
      <c r="DU10" s="21" t="n">
        <f aca="false">IF(DT10="",0,DS10)</f>
        <v>0</v>
      </c>
    </row>
    <row r="11" customFormat="false" ht="15" hidden="false" customHeight="false" outlineLevel="0" collapsed="false">
      <c r="DS11" s="21" t="n">
        <f aca="false">IF(OR($A11="",LOWER(TRIM($A11))="grand total",TRIM($A11)="(blank)"),0,IFERROR(INDEX('OCTMS Risk Map'!$C:$C,MATCH($A11,'OCTMS Risk Map'!$A:$A,0)),IF($B$2="H",3,IF($B$2="M",2,1))))</f>
        <v>0</v>
      </c>
      <c r="DT11" s="21" t="str">
        <f aca="false">IF(OR($A11="",LOWER(TRIM($A11))="grand total",TRIM($A11)="(blank)"),"",1)</f>
        <v/>
      </c>
      <c r="DU11" s="21" t="n">
        <f aca="false">IF(DT11="",0,DS11)</f>
        <v>0</v>
      </c>
    </row>
    <row r="12" customFormat="false" ht="15" hidden="false" customHeight="false" outlineLevel="0" collapsed="false">
      <c r="DS12" s="21" t="n">
        <f aca="false">IF(OR($A12="",LOWER(TRIM($A12))="grand total",TRIM($A12)="(blank)"),0,IFERROR(INDEX('OCTMS Risk Map'!$C:$C,MATCH($A12,'OCTMS Risk Map'!$A:$A,0)),IF($B$2="H",3,IF($B$2="M",2,1))))</f>
        <v>0</v>
      </c>
      <c r="DT12" s="21" t="str">
        <f aca="false">IF(OR($A12="",LOWER(TRIM($A12))="grand total",TRIM($A12)="(blank)"),"",1)</f>
        <v/>
      </c>
      <c r="DU12" s="21" t="n">
        <f aca="false">IF(DT12="",0,DS12)</f>
        <v>0</v>
      </c>
    </row>
    <row r="13" customFormat="false" ht="15" hidden="false" customHeight="false" outlineLevel="0" collapsed="false">
      <c r="DS13" s="21" t="n">
        <f aca="false">IF(OR($A13="",LOWER(TRIM($A13))="grand total",TRIM($A13)="(blank)"),0,IFERROR(INDEX('OCTMS Risk Map'!$C:$C,MATCH($A13,'OCTMS Risk Map'!$A:$A,0)),IF($B$2="H",3,IF($B$2="M",2,1))))</f>
        <v>0</v>
      </c>
      <c r="DT13" s="21" t="str">
        <f aca="false">IF(OR($A13="",LOWER(TRIM($A13))="grand total",TRIM($A13)="(blank)"),"",1)</f>
        <v/>
      </c>
      <c r="DU13" s="21" t="n">
        <f aca="false">IF(DT13="",0,DS13)</f>
        <v>0</v>
      </c>
    </row>
    <row r="14" customFormat="false" ht="15" hidden="false" customHeight="false" outlineLevel="0" collapsed="false">
      <c r="DS14" s="21" t="n">
        <f aca="false">IF(OR($A14="",LOWER(TRIM($A14))="grand total",TRIM($A14)="(blank)"),0,IFERROR(INDEX('OCTMS Risk Map'!$C:$C,MATCH($A14,'OCTMS Risk Map'!$A:$A,0)),IF($B$2="H",3,IF($B$2="M",2,1))))</f>
        <v>0</v>
      </c>
      <c r="DT14" s="21" t="str">
        <f aca="false">IF(OR($A14="",LOWER(TRIM($A14))="grand total",TRIM($A14)="(blank)"),"",1)</f>
        <v/>
      </c>
      <c r="DU14" s="21" t="n">
        <f aca="false">IF(DT14="",0,DS14)</f>
        <v>0</v>
      </c>
    </row>
    <row r="15" customFormat="false" ht="15" hidden="false" customHeight="false" outlineLevel="0" collapsed="false">
      <c r="DS15" s="21" t="n">
        <f aca="false">IF(OR($A15="",LOWER(TRIM($A15))="grand total",TRIM($A15)="(blank)"),0,IFERROR(INDEX('OCTMS Risk Map'!$C:$C,MATCH($A15,'OCTMS Risk Map'!$A:$A,0)),IF($B$2="H",3,IF($B$2="M",2,1))))</f>
        <v>0</v>
      </c>
      <c r="DT15" s="21" t="str">
        <f aca="false">IF(OR($A15="",LOWER(TRIM($A15))="grand total",TRIM($A15)="(blank)"),"",1)</f>
        <v/>
      </c>
      <c r="DU15" s="21" t="n">
        <f aca="false">IF(DT15="",0,DS15)</f>
        <v>0</v>
      </c>
    </row>
    <row r="16" customFormat="false" ht="15" hidden="false" customHeight="false" outlineLevel="0" collapsed="false">
      <c r="DS16" s="21" t="n">
        <f aca="false">IF(OR($A16="",LOWER(TRIM($A16))="grand total",TRIM($A16)="(blank)"),0,IFERROR(INDEX('OCTMS Risk Map'!$C:$C,MATCH($A16,'OCTMS Risk Map'!$A:$A,0)),IF($B$2="H",3,IF($B$2="M",2,1))))</f>
        <v>0</v>
      </c>
      <c r="DT16" s="21" t="str">
        <f aca="false">IF(OR($A16="",LOWER(TRIM($A16))="grand total",TRIM($A16)="(blank)"),"",1)</f>
        <v/>
      </c>
      <c r="DU16" s="21" t="n">
        <f aca="false">IF(DT16="",0,DS16)</f>
        <v>0</v>
      </c>
    </row>
    <row r="17" customFormat="false" ht="15" hidden="false" customHeight="false" outlineLevel="0" collapsed="false">
      <c r="DS17" s="21" t="n">
        <f aca="false">IF(OR($A17="",LOWER(TRIM($A17))="grand total",TRIM($A17)="(blank)"),0,IFERROR(INDEX('OCTMS Risk Map'!$C:$C,MATCH($A17,'OCTMS Risk Map'!$A:$A,0)),IF($B$2="H",3,IF($B$2="M",2,1))))</f>
        <v>0</v>
      </c>
      <c r="DT17" s="21" t="str">
        <f aca="false">IF(OR($A17="",LOWER(TRIM($A17))="grand total",TRIM($A17)="(blank)"),"",1)</f>
        <v/>
      </c>
      <c r="DU17" s="21" t="n">
        <f aca="false">IF(DT17="",0,DS17)</f>
        <v>0</v>
      </c>
    </row>
    <row r="18" customFormat="false" ht="15" hidden="false" customHeight="false" outlineLevel="0" collapsed="false">
      <c r="DS18" s="21" t="n">
        <f aca="false">IF(OR($A18="",LOWER(TRIM($A18))="grand total",TRIM($A18)="(blank)"),0,IFERROR(INDEX('OCTMS Risk Map'!$C:$C,MATCH($A18,'OCTMS Risk Map'!$A:$A,0)),IF($B$2="H",3,IF($B$2="M",2,1))))</f>
        <v>0</v>
      </c>
      <c r="DT18" s="21" t="str">
        <f aca="false">IF(OR($A18="",LOWER(TRIM($A18))="grand total",TRIM($A18)="(blank)"),"",1)</f>
        <v/>
      </c>
      <c r="DU18" s="21" t="n">
        <f aca="false">IF(DT18="",0,DS18)</f>
        <v>0</v>
      </c>
    </row>
    <row r="19" customFormat="false" ht="15" hidden="false" customHeight="false" outlineLevel="0" collapsed="false">
      <c r="DS19" s="21" t="n">
        <f aca="false">IF(OR($A19="",LOWER(TRIM($A19))="grand total",TRIM($A19)="(blank)"),0,IFERROR(INDEX('OCTMS Risk Map'!$C:$C,MATCH($A19,'OCTMS Risk Map'!$A:$A,0)),IF($B$2="H",3,IF($B$2="M",2,1))))</f>
        <v>0</v>
      </c>
      <c r="DT19" s="21" t="str">
        <f aca="false">IF(OR($A19="",LOWER(TRIM($A19))="grand total",TRIM($A19)="(blank)"),"",1)</f>
        <v/>
      </c>
      <c r="DU19" s="21" t="n">
        <f aca="false">IF(DT19="",0,DS19)</f>
        <v>0</v>
      </c>
    </row>
    <row r="20" customFormat="false" ht="15" hidden="false" customHeight="false" outlineLevel="0" collapsed="false">
      <c r="DS20" s="21" t="n">
        <f aca="false">IF(OR($A20="",LOWER(TRIM($A20))="grand total",TRIM($A20)="(blank)"),0,IFERROR(INDEX('OCTMS Risk Map'!$C:$C,MATCH($A20,'OCTMS Risk Map'!$A:$A,0)),IF($B$2="H",3,IF($B$2="M",2,1))))</f>
        <v>0</v>
      </c>
      <c r="DT20" s="21" t="str">
        <f aca="false">IF(OR($A20="",LOWER(TRIM($A20))="grand total",TRIM($A20)="(blank)"),"",1)</f>
        <v/>
      </c>
      <c r="DU20" s="21" t="n">
        <f aca="false">IF(DT20="",0,DS20)</f>
        <v>0</v>
      </c>
    </row>
    <row r="21" customFormat="false" ht="15" hidden="false" customHeight="false" outlineLevel="0" collapsed="false">
      <c r="DS21" s="21" t="n">
        <f aca="false">IF(OR($A21="",LOWER(TRIM($A21))="grand total",TRIM($A21)="(blank)"),0,IFERROR(INDEX('OCTMS Risk Map'!$C:$C,MATCH($A21,'OCTMS Risk Map'!$A:$A,0)),IF($B$2="H",3,IF($B$2="M",2,1))))</f>
        <v>0</v>
      </c>
      <c r="DT21" s="21" t="str">
        <f aca="false">IF(OR($A21="",LOWER(TRIM($A21))="grand total",TRIM($A21)="(blank)"),"",1)</f>
        <v/>
      </c>
      <c r="DU21" s="21" t="n">
        <f aca="false">IF(DT21="",0,DS21)</f>
        <v>0</v>
      </c>
    </row>
    <row r="22" customFormat="false" ht="15" hidden="false" customHeight="false" outlineLevel="0" collapsed="false">
      <c r="DS22" s="21" t="n">
        <f aca="false">IF(OR($A22="",LOWER(TRIM($A22))="grand total",TRIM($A22)="(blank)"),0,IFERROR(INDEX('OCTMS Risk Map'!$C:$C,MATCH($A22,'OCTMS Risk Map'!$A:$A,0)),IF($B$2="H",3,IF($B$2="M",2,1))))</f>
        <v>0</v>
      </c>
      <c r="DT22" s="21" t="str">
        <f aca="false">IF(OR($A22="",LOWER(TRIM($A22))="grand total",TRIM($A22)="(blank)"),"",1)</f>
        <v/>
      </c>
      <c r="DU22" s="21" t="n">
        <f aca="false">IF(DT22="",0,DS22)</f>
        <v>0</v>
      </c>
    </row>
    <row r="23" customFormat="false" ht="15" hidden="false" customHeight="false" outlineLevel="0" collapsed="false">
      <c r="DS23" s="21" t="n">
        <f aca="false">IF(OR($A23="",LOWER(TRIM($A23))="grand total",TRIM($A23)="(blank)"),0,IFERROR(INDEX('OCTMS Risk Map'!$C:$C,MATCH($A23,'OCTMS Risk Map'!$A:$A,0)),IF($B$2="H",3,IF($B$2="M",2,1))))</f>
        <v>0</v>
      </c>
      <c r="DT23" s="21" t="str">
        <f aca="false">IF(OR($A23="",LOWER(TRIM($A23))="grand total",TRIM($A23)="(blank)"),"",1)</f>
        <v/>
      </c>
      <c r="DU23" s="21" t="n">
        <f aca="false">IF(DT23="",0,DS23)</f>
        <v>0</v>
      </c>
    </row>
    <row r="24" customFormat="false" ht="15" hidden="false" customHeight="false" outlineLevel="0" collapsed="false">
      <c r="DS24" s="21" t="n">
        <f aca="false">IF(OR($A24="",LOWER(TRIM($A24))="grand total",TRIM($A24)="(blank)"),0,IFERROR(INDEX('OCTMS Risk Map'!$C:$C,MATCH($A24,'OCTMS Risk Map'!$A:$A,0)),IF($B$2="H",3,IF($B$2="M",2,1))))</f>
        <v>0</v>
      </c>
      <c r="DT24" s="21" t="str">
        <f aca="false">IF(OR($A24="",LOWER(TRIM($A24))="grand total",TRIM($A24)="(blank)"),"",1)</f>
        <v/>
      </c>
      <c r="DU24" s="21" t="n">
        <f aca="false">IF(DT24="",0,DS24)</f>
        <v>0</v>
      </c>
    </row>
    <row r="25" customFormat="false" ht="15" hidden="false" customHeight="false" outlineLevel="0" collapsed="false">
      <c r="DS25" s="21" t="n">
        <f aca="false">IF(OR($A25="",LOWER(TRIM($A25))="grand total",TRIM($A25)="(blank)"),0,IFERROR(INDEX('OCTMS Risk Map'!$C:$C,MATCH($A25,'OCTMS Risk Map'!$A:$A,0)),IF($B$2="H",3,IF($B$2="M",2,1))))</f>
        <v>0</v>
      </c>
      <c r="DT25" s="21" t="str">
        <f aca="false">IF(OR($A25="",LOWER(TRIM($A25))="grand total",TRIM($A25)="(blank)"),"",1)</f>
        <v/>
      </c>
      <c r="DU25" s="21" t="n">
        <f aca="false">IF(DT25="",0,DS25)</f>
        <v>0</v>
      </c>
    </row>
    <row r="26" customFormat="false" ht="15" hidden="false" customHeight="false" outlineLevel="0" collapsed="false">
      <c r="DS26" s="21" t="n">
        <f aca="false">IF(OR($A26="",LOWER(TRIM($A26))="grand total",TRIM($A26)="(blank)"),0,IFERROR(INDEX('OCTMS Risk Map'!$C:$C,MATCH($A26,'OCTMS Risk Map'!$A:$A,0)),IF($B$2="H",3,IF($B$2="M",2,1))))</f>
        <v>0</v>
      </c>
      <c r="DT26" s="21" t="str">
        <f aca="false">IF(OR($A26="",LOWER(TRIM($A26))="grand total",TRIM($A26)="(blank)"),"",1)</f>
        <v/>
      </c>
      <c r="DU26" s="21" t="n">
        <f aca="false">IF(DT26="",0,DS26)</f>
        <v>0</v>
      </c>
    </row>
    <row r="27" customFormat="false" ht="15" hidden="false" customHeight="false" outlineLevel="0" collapsed="false">
      <c r="DS27" s="21" t="n">
        <f aca="false">IF(OR($A27="",LOWER(TRIM($A27))="grand total",TRIM($A27)="(blank)"),0,IFERROR(INDEX('OCTMS Risk Map'!$C:$C,MATCH($A27,'OCTMS Risk Map'!$A:$A,0)),IF($B$2="H",3,IF($B$2="M",2,1))))</f>
        <v>0</v>
      </c>
      <c r="DT27" s="21" t="str">
        <f aca="false">IF(OR($A27="",LOWER(TRIM($A27))="grand total",TRIM($A27)="(blank)"),"",1)</f>
        <v/>
      </c>
      <c r="DU27" s="21" t="n">
        <f aca="false">IF(DT27="",0,DS27)</f>
        <v>0</v>
      </c>
    </row>
    <row r="28" customFormat="false" ht="15" hidden="false" customHeight="false" outlineLevel="0" collapsed="false">
      <c r="DS28" s="21" t="n">
        <f aca="false">IF(OR($A28="",LOWER(TRIM($A28))="grand total",TRIM($A28)="(blank)"),0,IFERROR(INDEX('OCTMS Risk Map'!$C:$C,MATCH($A28,'OCTMS Risk Map'!$A:$A,0)),IF($B$2="H",3,IF($B$2="M",2,1))))</f>
        <v>0</v>
      </c>
      <c r="DT28" s="21" t="str">
        <f aca="false">IF(OR($A28="",LOWER(TRIM($A28))="grand total",TRIM($A28)="(blank)"),"",1)</f>
        <v/>
      </c>
      <c r="DU28" s="21" t="n">
        <f aca="false">IF(DT28="",0,DS28)</f>
        <v>0</v>
      </c>
    </row>
    <row r="29" customFormat="false" ht="15" hidden="false" customHeight="false" outlineLevel="0" collapsed="false">
      <c r="DS29" s="21" t="n">
        <f aca="false">IF(OR($A29="",LOWER(TRIM($A29))="grand total",TRIM($A29)="(blank)"),0,IFERROR(INDEX('OCTMS Risk Map'!$C:$C,MATCH($A29,'OCTMS Risk Map'!$A:$A,0)),IF($B$2="H",3,IF($B$2="M",2,1))))</f>
        <v>0</v>
      </c>
      <c r="DT29" s="21" t="str">
        <f aca="false">IF(OR($A29="",LOWER(TRIM($A29))="grand total",TRIM($A29)="(blank)"),"",1)</f>
        <v/>
      </c>
      <c r="DU29" s="21" t="n">
        <f aca="false">IF(DT29="",0,DS29)</f>
        <v>0</v>
      </c>
    </row>
    <row r="30" customFormat="false" ht="15" hidden="false" customHeight="false" outlineLevel="0" collapsed="false">
      <c r="DS30" s="21" t="n">
        <f aca="false">IF(OR($A30="",LOWER(TRIM($A30))="grand total",TRIM($A30)="(blank)"),0,IFERROR(INDEX('OCTMS Risk Map'!$C:$C,MATCH($A30,'OCTMS Risk Map'!$A:$A,0)),IF($B$2="H",3,IF($B$2="M",2,1))))</f>
        <v>0</v>
      </c>
      <c r="DT30" s="21" t="str">
        <f aca="false">IF(OR($A30="",LOWER(TRIM($A30))="grand total",TRIM($A30)="(blank)"),"",1)</f>
        <v/>
      </c>
      <c r="DU30" s="21" t="n">
        <f aca="false">IF(DT30="",0,DS30)</f>
        <v>0</v>
      </c>
    </row>
    <row r="31" customFormat="false" ht="15" hidden="false" customHeight="false" outlineLevel="0" collapsed="false">
      <c r="DS31" s="21" t="n">
        <f aca="false">IF(OR($A31="",LOWER(TRIM($A31))="grand total",TRIM($A31)="(blank)"),0,IFERROR(INDEX('OCTMS Risk Map'!$C:$C,MATCH($A31,'OCTMS Risk Map'!$A:$A,0)),IF($B$2="H",3,IF($B$2="M",2,1))))</f>
        <v>0</v>
      </c>
      <c r="DT31" s="21" t="str">
        <f aca="false">IF(OR($A31="",LOWER(TRIM($A31))="grand total",TRIM($A31)="(blank)"),"",1)</f>
        <v/>
      </c>
      <c r="DU31" s="21" t="n">
        <f aca="false">IF(DT31="",0,DS31)</f>
        <v>0</v>
      </c>
    </row>
    <row r="32" customFormat="false" ht="15" hidden="false" customHeight="false" outlineLevel="0" collapsed="false">
      <c r="DS32" s="21" t="n">
        <f aca="false">IF(OR($A32="",LOWER(TRIM($A32))="grand total",TRIM($A32)="(blank)"),0,IFERROR(INDEX('OCTMS Risk Map'!$C:$C,MATCH($A32,'OCTMS Risk Map'!$A:$A,0)),IF($B$2="H",3,IF($B$2="M",2,1))))</f>
        <v>0</v>
      </c>
      <c r="DT32" s="21" t="str">
        <f aca="false">IF(OR($A32="",LOWER(TRIM($A32))="grand total",TRIM($A32)="(blank)"),"",1)</f>
        <v/>
      </c>
      <c r="DU32" s="21" t="n">
        <f aca="false">IF(DT32="",0,DS32)</f>
        <v>0</v>
      </c>
    </row>
    <row r="33" customFormat="false" ht="15" hidden="false" customHeight="false" outlineLevel="0" collapsed="false">
      <c r="DS33" s="21" t="n">
        <f aca="false">IF(OR($A33="",LOWER(TRIM($A33))="grand total",TRIM($A33)="(blank)"),0,IFERROR(INDEX('OCTMS Risk Map'!$C:$C,MATCH($A33,'OCTMS Risk Map'!$A:$A,0)),IF($B$2="H",3,IF($B$2="M",2,1))))</f>
        <v>0</v>
      </c>
      <c r="DT33" s="21" t="str">
        <f aca="false">IF(OR($A33="",LOWER(TRIM($A33))="grand total",TRIM($A33)="(blank)"),"",1)</f>
        <v/>
      </c>
      <c r="DU33" s="21" t="n">
        <f aca="false">IF(DT33="",0,DS33)</f>
        <v>0</v>
      </c>
    </row>
    <row r="34" customFormat="false" ht="15" hidden="false" customHeight="false" outlineLevel="0" collapsed="false">
      <c r="DS34" s="21" t="n">
        <f aca="false">IF(OR($A34="",LOWER(TRIM($A34))="grand total",TRIM($A34)="(blank)"),0,IFERROR(INDEX('OCTMS Risk Map'!$C:$C,MATCH($A34,'OCTMS Risk Map'!$A:$A,0)),IF($B$2="H",3,IF($B$2="M",2,1))))</f>
        <v>0</v>
      </c>
      <c r="DT34" s="21" t="str">
        <f aca="false">IF(OR($A34="",LOWER(TRIM($A34))="grand total",TRIM($A34)="(blank)"),"",1)</f>
        <v/>
      </c>
      <c r="DU34" s="21" t="n">
        <f aca="false">IF(DT34="",0,DS34)</f>
        <v>0</v>
      </c>
    </row>
    <row r="35" customFormat="false" ht="15" hidden="false" customHeight="false" outlineLevel="0" collapsed="false">
      <c r="DS35" s="21" t="n">
        <f aca="false">IF(OR($A35="",LOWER(TRIM($A35))="grand total",TRIM($A35)="(blank)"),0,IFERROR(INDEX('OCTMS Risk Map'!$C:$C,MATCH($A35,'OCTMS Risk Map'!$A:$A,0)),IF($B$2="H",3,IF($B$2="M",2,1))))</f>
        <v>0</v>
      </c>
      <c r="DT35" s="21" t="str">
        <f aca="false">IF(OR($A35="",LOWER(TRIM($A35))="grand total",TRIM($A35)="(blank)"),"",1)</f>
        <v/>
      </c>
      <c r="DU35" s="21" t="n">
        <f aca="false">IF(DT35="",0,DS35)</f>
        <v>0</v>
      </c>
    </row>
    <row r="36" customFormat="false" ht="15" hidden="false" customHeight="false" outlineLevel="0" collapsed="false">
      <c r="DS36" s="21" t="n">
        <f aca="false">IF(OR($A36="",LOWER(TRIM($A36))="grand total",TRIM($A36)="(blank)"),0,IFERROR(INDEX('OCTMS Risk Map'!$C:$C,MATCH($A36,'OCTMS Risk Map'!$A:$A,0)),IF($B$2="H",3,IF($B$2="M",2,1))))</f>
        <v>0</v>
      </c>
      <c r="DT36" s="21" t="str">
        <f aca="false">IF(OR($A36="",LOWER(TRIM($A36))="grand total",TRIM($A36)="(blank)"),"",1)</f>
        <v/>
      </c>
      <c r="DU36" s="21" t="n">
        <f aca="false">IF(DT36="",0,DS36)</f>
        <v>0</v>
      </c>
    </row>
    <row r="37" customFormat="false" ht="15" hidden="false" customHeight="false" outlineLevel="0" collapsed="false">
      <c r="DS37" s="21" t="n">
        <f aca="false">IF(OR($A37="",LOWER(TRIM($A37))="grand total",TRIM($A37)="(blank)"),0,IFERROR(INDEX('OCTMS Risk Map'!$C:$C,MATCH($A37,'OCTMS Risk Map'!$A:$A,0)),IF($B$2="H",3,IF($B$2="M",2,1))))</f>
        <v>0</v>
      </c>
      <c r="DT37" s="21" t="str">
        <f aca="false">IF(OR($A37="",LOWER(TRIM($A37))="grand total",TRIM($A37)="(blank)"),"",1)</f>
        <v/>
      </c>
      <c r="DU37" s="21" t="n">
        <f aca="false">IF(DT37="",0,DS37)</f>
        <v>0</v>
      </c>
    </row>
    <row r="38" customFormat="false" ht="15" hidden="false" customHeight="false" outlineLevel="0" collapsed="false">
      <c r="DS38" s="21" t="n">
        <f aca="false">IF(OR($A38="",LOWER(TRIM($A38))="grand total",TRIM($A38)="(blank)"),0,IFERROR(INDEX('OCTMS Risk Map'!$C:$C,MATCH($A38,'OCTMS Risk Map'!$A:$A,0)),IF($B$2="H",3,IF($B$2="M",2,1))))</f>
        <v>0</v>
      </c>
      <c r="DT38" s="21" t="str">
        <f aca="false">IF(OR($A38="",LOWER(TRIM($A38))="grand total",TRIM($A38)="(blank)"),"",1)</f>
        <v/>
      </c>
      <c r="DU38" s="21" t="n">
        <f aca="false">IF(DT38="",0,DS38)</f>
        <v>0</v>
      </c>
    </row>
    <row r="39" customFormat="false" ht="15" hidden="false" customHeight="false" outlineLevel="0" collapsed="false">
      <c r="DS39" s="21" t="n">
        <f aca="false">IF(OR($A39="",LOWER(TRIM($A39))="grand total",TRIM($A39)="(blank)"),0,IFERROR(INDEX('OCTMS Risk Map'!$C:$C,MATCH($A39,'OCTMS Risk Map'!$A:$A,0)),IF($B$2="H",3,IF($B$2="M",2,1))))</f>
        <v>0</v>
      </c>
      <c r="DT39" s="21" t="str">
        <f aca="false">IF(OR($A39="",LOWER(TRIM($A39))="grand total",TRIM($A39)="(blank)"),"",1)</f>
        <v/>
      </c>
      <c r="DU39" s="21" t="n">
        <f aca="false">IF(DT39="",0,DS39)</f>
        <v>0</v>
      </c>
    </row>
    <row r="40" customFormat="false" ht="15" hidden="false" customHeight="false" outlineLevel="0" collapsed="false">
      <c r="DS40" s="21" t="n">
        <f aca="false">IF(OR($A40="",LOWER(TRIM($A40))="grand total",TRIM($A40)="(blank)"),0,IFERROR(INDEX('OCTMS Risk Map'!$C:$C,MATCH($A40,'OCTMS Risk Map'!$A:$A,0)),IF($B$2="H",3,IF($B$2="M",2,1))))</f>
        <v>0</v>
      </c>
      <c r="DT40" s="21" t="str">
        <f aca="false">IF(OR($A40="",LOWER(TRIM($A40))="grand total",TRIM($A40)="(blank)"),"",1)</f>
        <v/>
      </c>
      <c r="DU40" s="21" t="n">
        <f aca="false">IF(DT40="",0,DS40)</f>
        <v>0</v>
      </c>
    </row>
    <row r="41" customFormat="false" ht="15" hidden="false" customHeight="false" outlineLevel="0" collapsed="false">
      <c r="DS41" s="21" t="n">
        <f aca="false">IF(OR($A41="",LOWER(TRIM($A41))="grand total",TRIM($A41)="(blank)"),0,IFERROR(INDEX('OCTMS Risk Map'!$C:$C,MATCH($A41,'OCTMS Risk Map'!$A:$A,0)),IF($B$2="H",3,IF($B$2="M",2,1))))</f>
        <v>0</v>
      </c>
      <c r="DT41" s="21" t="str">
        <f aca="false">IF(OR($A41="",LOWER(TRIM($A41))="grand total",TRIM($A41)="(blank)"),"",1)</f>
        <v/>
      </c>
      <c r="DU41" s="21" t="n">
        <f aca="false">IF(DT41="",0,DS41)</f>
        <v>0</v>
      </c>
    </row>
    <row r="42" customFormat="false" ht="15" hidden="false" customHeight="false" outlineLevel="0" collapsed="false">
      <c r="DS42" s="21" t="n">
        <f aca="false">IF(OR($A42="",LOWER(TRIM($A42))="grand total",TRIM($A42)="(blank)"),0,IFERROR(INDEX('OCTMS Risk Map'!$C:$C,MATCH($A42,'OCTMS Risk Map'!$A:$A,0)),IF($B$2="H",3,IF($B$2="M",2,1))))</f>
        <v>0</v>
      </c>
      <c r="DT42" s="21" t="str">
        <f aca="false">IF(OR($A42="",LOWER(TRIM($A42))="grand total",TRIM($A42)="(blank)"),"",1)</f>
        <v/>
      </c>
      <c r="DU42" s="21" t="n">
        <f aca="false">IF(DT42="",0,DS42)</f>
        <v>0</v>
      </c>
    </row>
    <row r="43" customFormat="false" ht="15" hidden="false" customHeight="false" outlineLevel="0" collapsed="false">
      <c r="DS43" s="21" t="n">
        <f aca="false">IF(OR($A43="",LOWER(TRIM($A43))="grand total",TRIM($A43)="(blank)"),0,IFERROR(INDEX('OCTMS Risk Map'!$C:$C,MATCH($A43,'OCTMS Risk Map'!$A:$A,0)),IF($B$2="H",3,IF($B$2="M",2,1))))</f>
        <v>0</v>
      </c>
      <c r="DT43" s="21" t="str">
        <f aca="false">IF(OR($A43="",LOWER(TRIM($A43))="grand total",TRIM($A43)="(blank)"),"",1)</f>
        <v/>
      </c>
      <c r="DU43" s="21" t="n">
        <f aca="false">IF(DT43="",0,DS43)</f>
        <v>0</v>
      </c>
    </row>
    <row r="44" customFormat="false" ht="15" hidden="false" customHeight="false" outlineLevel="0" collapsed="false">
      <c r="DS44" s="21" t="n">
        <f aca="false">IF(OR($A44="",LOWER(TRIM($A44))="grand total",TRIM($A44)="(blank)"),0,IFERROR(INDEX('OCTMS Risk Map'!$C:$C,MATCH($A44,'OCTMS Risk Map'!$A:$A,0)),IF($B$2="H",3,IF($B$2="M",2,1))))</f>
        <v>0</v>
      </c>
      <c r="DT44" s="21" t="str">
        <f aca="false">IF(OR($A44="",LOWER(TRIM($A44))="grand total",TRIM($A44)="(blank)"),"",1)</f>
        <v/>
      </c>
      <c r="DU44" s="21" t="n">
        <f aca="false">IF(DT44="",0,DS44)</f>
        <v>0</v>
      </c>
    </row>
    <row r="45" customFormat="false" ht="15" hidden="false" customHeight="false" outlineLevel="0" collapsed="false">
      <c r="DS45" s="21" t="n">
        <f aca="false">IF(OR($A45="",LOWER(TRIM($A45))="grand total",TRIM($A45)="(blank)"),0,IFERROR(INDEX('OCTMS Risk Map'!$C:$C,MATCH($A45,'OCTMS Risk Map'!$A:$A,0)),IF($B$2="H",3,IF($B$2="M",2,1))))</f>
        <v>0</v>
      </c>
      <c r="DT45" s="21" t="str">
        <f aca="false">IF(OR($A45="",LOWER(TRIM($A45))="grand total",TRIM($A45)="(blank)"),"",1)</f>
        <v/>
      </c>
      <c r="DU45" s="21" t="n">
        <f aca="false">IF(DT45="",0,DS45)</f>
        <v>0</v>
      </c>
    </row>
    <row r="46" customFormat="false" ht="15" hidden="false" customHeight="false" outlineLevel="0" collapsed="false">
      <c r="DS46" s="21" t="n">
        <f aca="false">IF(OR($A46="",LOWER(TRIM($A46))="grand total",TRIM($A46)="(blank)"),0,IFERROR(INDEX('OCTMS Risk Map'!$C:$C,MATCH($A46,'OCTMS Risk Map'!$A:$A,0)),IF($B$2="H",3,IF($B$2="M",2,1))))</f>
        <v>0</v>
      </c>
      <c r="DT46" s="21" t="str">
        <f aca="false">IF(OR($A46="",LOWER(TRIM($A46))="grand total",TRIM($A46)="(blank)"),"",1)</f>
        <v/>
      </c>
      <c r="DU46" s="21" t="n">
        <f aca="false">IF(DT46="",0,DS46)</f>
        <v>0</v>
      </c>
    </row>
    <row r="47" customFormat="false" ht="15" hidden="false" customHeight="false" outlineLevel="0" collapsed="false">
      <c r="DS47" s="21" t="n">
        <f aca="false">IF(OR($A47="",LOWER(TRIM($A47))="grand total",TRIM($A47)="(blank)"),0,IFERROR(INDEX('OCTMS Risk Map'!$C:$C,MATCH($A47,'OCTMS Risk Map'!$A:$A,0)),IF($B$2="H",3,IF($B$2="M",2,1))))</f>
        <v>0</v>
      </c>
      <c r="DT47" s="21" t="str">
        <f aca="false">IF(OR($A47="",LOWER(TRIM($A47))="grand total",TRIM($A47)="(blank)"),"",1)</f>
        <v/>
      </c>
      <c r="DU47" s="21" t="n">
        <f aca="false">IF(DT47="",0,DS47)</f>
        <v>0</v>
      </c>
    </row>
    <row r="48" customFormat="false" ht="15" hidden="false" customHeight="false" outlineLevel="0" collapsed="false">
      <c r="DS48" s="21" t="n">
        <f aca="false">IF(OR($A48="",LOWER(TRIM($A48))="grand total",TRIM($A48)="(blank)"),0,IFERROR(INDEX('OCTMS Risk Map'!$C:$C,MATCH($A48,'OCTMS Risk Map'!$A:$A,0)),IF($B$2="H",3,IF($B$2="M",2,1))))</f>
        <v>0</v>
      </c>
      <c r="DT48" s="21" t="str">
        <f aca="false">IF(OR($A48="",LOWER(TRIM($A48))="grand total",TRIM($A48)="(blank)"),"",1)</f>
        <v/>
      </c>
      <c r="DU48" s="21" t="n">
        <f aca="false">IF(DT48="",0,DS48)</f>
        <v>0</v>
      </c>
    </row>
    <row r="49" customFormat="false" ht="15" hidden="false" customHeight="false" outlineLevel="0" collapsed="false">
      <c r="DS49" s="21" t="n">
        <f aca="false">IF(OR($A49="",LOWER(TRIM($A49))="grand total",TRIM($A49)="(blank)"),0,IFERROR(INDEX('OCTMS Risk Map'!$C:$C,MATCH($A49,'OCTMS Risk Map'!$A:$A,0)),IF($B$2="H",3,IF($B$2="M",2,1))))</f>
        <v>0</v>
      </c>
      <c r="DT49" s="21" t="str">
        <f aca="false">IF(OR($A49="",LOWER(TRIM($A49))="grand total",TRIM($A49)="(blank)"),"",1)</f>
        <v/>
      </c>
      <c r="DU49" s="21" t="n">
        <f aca="false">IF(DT49="",0,DS49)</f>
        <v>0</v>
      </c>
    </row>
    <row r="50" customFormat="false" ht="15" hidden="false" customHeight="false" outlineLevel="0" collapsed="false">
      <c r="DS50" s="21" t="n">
        <f aca="false">IF(OR($A50="",LOWER(TRIM($A50))="grand total",TRIM($A50)="(blank)"),0,IFERROR(INDEX('OCTMS Risk Map'!$C:$C,MATCH($A50,'OCTMS Risk Map'!$A:$A,0)),IF($B$2="H",3,IF($B$2="M",2,1))))</f>
        <v>0</v>
      </c>
      <c r="DT50" s="21" t="str">
        <f aca="false">IF(OR($A50="",LOWER(TRIM($A50))="grand total",TRIM($A50)="(blank)"),"",1)</f>
        <v/>
      </c>
      <c r="DU50" s="21" t="n">
        <f aca="false">IF(DT50="",0,DS50)</f>
        <v>0</v>
      </c>
    </row>
    <row r="51" customFormat="false" ht="15" hidden="false" customHeight="false" outlineLevel="0" collapsed="false">
      <c r="DS51" s="21" t="n">
        <f aca="false">IF(OR($A51="",LOWER(TRIM($A51))="grand total",TRIM($A51)="(blank)"),0,IFERROR(INDEX('OCTMS Risk Map'!$C:$C,MATCH($A51,'OCTMS Risk Map'!$A:$A,0)),IF($B$2="H",3,IF($B$2="M",2,1))))</f>
        <v>0</v>
      </c>
      <c r="DT51" s="21" t="str">
        <f aca="false">IF(OR($A51="",LOWER(TRIM($A51))="grand total",TRIM($A51)="(blank)"),"",1)</f>
        <v/>
      </c>
      <c r="DU51" s="21" t="n">
        <f aca="false">IF(DT51="",0,DS51)</f>
        <v>0</v>
      </c>
    </row>
    <row r="52" customFormat="false" ht="15" hidden="false" customHeight="false" outlineLevel="0" collapsed="false">
      <c r="DS52" s="21" t="n">
        <f aca="false">IF(OR($A52="",LOWER(TRIM($A52))="grand total",TRIM($A52)="(blank)"),0,IFERROR(INDEX('OCTMS Risk Map'!$C:$C,MATCH($A52,'OCTMS Risk Map'!$A:$A,0)),IF($B$2="H",3,IF($B$2="M",2,1))))</f>
        <v>0</v>
      </c>
      <c r="DT52" s="21" t="str">
        <f aca="false">IF(OR($A52="",LOWER(TRIM($A52))="grand total",TRIM($A52)="(blank)"),"",1)</f>
        <v/>
      </c>
      <c r="DU52" s="21" t="n">
        <f aca="false">IF(DT52="",0,DS52)</f>
        <v>0</v>
      </c>
    </row>
    <row r="53" customFormat="false" ht="15" hidden="false" customHeight="false" outlineLevel="0" collapsed="false">
      <c r="DS53" s="21" t="n">
        <f aca="false">IF(OR($A53="",LOWER(TRIM($A53))="grand total",TRIM($A53)="(blank)"),0,IFERROR(INDEX('OCTMS Risk Map'!$C:$C,MATCH($A53,'OCTMS Risk Map'!$A:$A,0)),IF($B$2="H",3,IF($B$2="M",2,1))))</f>
        <v>0</v>
      </c>
      <c r="DT53" s="21" t="str">
        <f aca="false">IF(OR($A53="",LOWER(TRIM($A53))="grand total",TRIM($A53)="(blank)"),"",1)</f>
        <v/>
      </c>
      <c r="DU53" s="21" t="n">
        <f aca="false">IF(DT53="",0,DS53)</f>
        <v>0</v>
      </c>
    </row>
    <row r="54" customFormat="false" ht="15" hidden="false" customHeight="false" outlineLevel="0" collapsed="false">
      <c r="DS54" s="21" t="n">
        <f aca="false">IF(OR($A54="",LOWER(TRIM($A54))="grand total",TRIM($A54)="(blank)"),0,IFERROR(INDEX('OCTMS Risk Map'!$C:$C,MATCH($A54,'OCTMS Risk Map'!$A:$A,0)),IF($B$2="H",3,IF($B$2="M",2,1))))</f>
        <v>0</v>
      </c>
      <c r="DT54" s="21" t="str">
        <f aca="false">IF(OR($A54="",LOWER(TRIM($A54))="grand total",TRIM($A54)="(blank)"),"",1)</f>
        <v/>
      </c>
      <c r="DU54" s="21" t="n">
        <f aca="false">IF(DT54="",0,DS54)</f>
        <v>0</v>
      </c>
    </row>
    <row r="55" customFormat="false" ht="15" hidden="false" customHeight="false" outlineLevel="0" collapsed="false">
      <c r="DS55" s="21" t="n">
        <f aca="false">IF(OR($A55="",LOWER(TRIM($A55))="grand total",TRIM($A55)="(blank)"),0,IFERROR(INDEX('OCTMS Risk Map'!$C:$C,MATCH($A55,'OCTMS Risk Map'!$A:$A,0)),IF($B$2="H",3,IF($B$2="M",2,1))))</f>
        <v>0</v>
      </c>
      <c r="DT55" s="21" t="str">
        <f aca="false">IF(OR($A55="",LOWER(TRIM($A55))="grand total",TRIM($A55)="(blank)"),"",1)</f>
        <v/>
      </c>
      <c r="DU55" s="21" t="n">
        <f aca="false">IF(DT55="",0,DS55)</f>
        <v>0</v>
      </c>
    </row>
    <row r="56" customFormat="false" ht="15" hidden="false" customHeight="false" outlineLevel="0" collapsed="false">
      <c r="DS56" s="21" t="n">
        <f aca="false">IF(OR($A56="",LOWER(TRIM($A56))="grand total",TRIM($A56)="(blank)"),0,IFERROR(INDEX('OCTMS Risk Map'!$C:$C,MATCH($A56,'OCTMS Risk Map'!$A:$A,0)),IF($B$2="H",3,IF($B$2="M",2,1))))</f>
        <v>0</v>
      </c>
      <c r="DT56" s="21" t="str">
        <f aca="false">IF(OR($A56="",LOWER(TRIM($A56))="grand total",TRIM($A56)="(blank)"),"",1)</f>
        <v/>
      </c>
      <c r="DU56" s="21" t="n">
        <f aca="false">IF(DT56="",0,DS56)</f>
        <v>0</v>
      </c>
    </row>
    <row r="57" customFormat="false" ht="15" hidden="false" customHeight="false" outlineLevel="0" collapsed="false">
      <c r="DS57" s="21" t="n">
        <f aca="false">IF(OR($A57="",LOWER(TRIM($A57))="grand total",TRIM($A57)="(blank)"),0,IFERROR(INDEX('OCTMS Risk Map'!$C:$C,MATCH($A57,'OCTMS Risk Map'!$A:$A,0)),IF($B$2="H",3,IF($B$2="M",2,1))))</f>
        <v>0</v>
      </c>
      <c r="DT57" s="21" t="str">
        <f aca="false">IF(OR($A57="",LOWER(TRIM($A57))="grand total",TRIM($A57)="(blank)"),"",1)</f>
        <v/>
      </c>
      <c r="DU57" s="21" t="n">
        <f aca="false">IF(DT57="",0,DS57)</f>
        <v>0</v>
      </c>
    </row>
    <row r="58" customFormat="false" ht="15" hidden="false" customHeight="false" outlineLevel="0" collapsed="false">
      <c r="DS58" s="21" t="n">
        <f aca="false">IF(OR($A58="",LOWER(TRIM($A58))="grand total",TRIM($A58)="(blank)"),0,IFERROR(INDEX('OCTMS Risk Map'!$C:$C,MATCH($A58,'OCTMS Risk Map'!$A:$A,0)),IF($B$2="H",3,IF($B$2="M",2,1))))</f>
        <v>0</v>
      </c>
      <c r="DT58" s="21" t="str">
        <f aca="false">IF(OR($A58="",LOWER(TRIM($A58))="grand total",TRIM($A58)="(blank)"),"",1)</f>
        <v/>
      </c>
      <c r="DU58" s="21" t="n">
        <f aca="false">IF(DT58="",0,DS58)</f>
        <v>0</v>
      </c>
    </row>
    <row r="59" customFormat="false" ht="15" hidden="false" customHeight="false" outlineLevel="0" collapsed="false">
      <c r="DS59" s="21" t="n">
        <f aca="false">IF(OR($A59="",LOWER(TRIM($A59))="grand total",TRIM($A59)="(blank)"),0,IFERROR(INDEX('OCTMS Risk Map'!$C:$C,MATCH($A59,'OCTMS Risk Map'!$A:$A,0)),IF($B$2="H",3,IF($B$2="M",2,1))))</f>
        <v>0</v>
      </c>
      <c r="DT59" s="21" t="str">
        <f aca="false">IF(OR($A59="",LOWER(TRIM($A59))="grand total",TRIM($A59)="(blank)"),"",1)</f>
        <v/>
      </c>
      <c r="DU59" s="21" t="n">
        <f aca="false">IF(DT59="",0,DS59)</f>
        <v>0</v>
      </c>
    </row>
    <row r="60" customFormat="false" ht="15" hidden="false" customHeight="false" outlineLevel="0" collapsed="false">
      <c r="DS60" s="21" t="n">
        <f aca="false">IF(OR($A60="",LOWER(TRIM($A60))="grand total",TRIM($A60)="(blank)"),0,IFERROR(INDEX('OCTMS Risk Map'!$C:$C,MATCH($A60,'OCTMS Risk Map'!$A:$A,0)),IF($B$2="H",3,IF($B$2="M",2,1))))</f>
        <v>0</v>
      </c>
      <c r="DT60" s="21" t="str">
        <f aca="false">IF(OR($A60="",LOWER(TRIM($A60))="grand total",TRIM($A60)="(blank)"),"",1)</f>
        <v/>
      </c>
      <c r="DU60" s="21" t="n">
        <f aca="false">IF(DT60="",0,DS60)</f>
        <v>0</v>
      </c>
    </row>
    <row r="61" customFormat="false" ht="15" hidden="false" customHeight="false" outlineLevel="0" collapsed="false">
      <c r="DS61" s="21" t="n">
        <f aca="false">IF(OR($A61="",LOWER(TRIM($A61))="grand total",TRIM($A61)="(blank)"),0,IFERROR(INDEX('OCTMS Risk Map'!$C:$C,MATCH($A61,'OCTMS Risk Map'!$A:$A,0)),IF($B$2="H",3,IF($B$2="M",2,1))))</f>
        <v>0</v>
      </c>
      <c r="DT61" s="21" t="str">
        <f aca="false">IF(OR($A61="",LOWER(TRIM($A61))="grand total",TRIM($A61)="(blank)"),"",1)</f>
        <v/>
      </c>
      <c r="DU61" s="21" t="n">
        <f aca="false">IF(DT61="",0,DS61)</f>
        <v>0</v>
      </c>
    </row>
    <row r="62" customFormat="false" ht="15" hidden="false" customHeight="false" outlineLevel="0" collapsed="false">
      <c r="DS62" s="21" t="n">
        <f aca="false">IF(OR($A62="",LOWER(TRIM($A62))="grand total",TRIM($A62)="(blank)"),0,IFERROR(INDEX('OCTMS Risk Map'!$C:$C,MATCH($A62,'OCTMS Risk Map'!$A:$A,0)),IF($B$2="H",3,IF($B$2="M",2,1))))</f>
        <v>0</v>
      </c>
      <c r="DT62" s="21" t="str">
        <f aca="false">IF(OR($A62="",LOWER(TRIM($A62))="grand total",TRIM($A62)="(blank)"),"",1)</f>
        <v/>
      </c>
      <c r="DU62" s="21" t="n">
        <f aca="false">IF(DT62="",0,DS62)</f>
        <v>0</v>
      </c>
    </row>
    <row r="63" customFormat="false" ht="15" hidden="false" customHeight="false" outlineLevel="0" collapsed="false">
      <c r="DS63" s="21" t="n">
        <f aca="false">IF(OR($A63="",LOWER(TRIM($A63))="grand total",TRIM($A63)="(blank)"),0,IFERROR(INDEX('OCTMS Risk Map'!$C:$C,MATCH($A63,'OCTMS Risk Map'!$A:$A,0)),IF($B$2="H",3,IF($B$2="M",2,1))))</f>
        <v>0</v>
      </c>
      <c r="DT63" s="21" t="str">
        <f aca="false">IF(OR($A63="",LOWER(TRIM($A63))="grand total",TRIM($A63)="(blank)"),"",1)</f>
        <v/>
      </c>
      <c r="DU63" s="21" t="n">
        <f aca="false">IF(DT63="",0,DS63)</f>
        <v>0</v>
      </c>
    </row>
    <row r="64" customFormat="false" ht="15" hidden="false" customHeight="false" outlineLevel="0" collapsed="false">
      <c r="DS64" s="21" t="n">
        <f aca="false">IF(OR($A64="",LOWER(TRIM($A64))="grand total",TRIM($A64)="(blank)"),0,IFERROR(INDEX('OCTMS Risk Map'!$C:$C,MATCH($A64,'OCTMS Risk Map'!$A:$A,0)),IF($B$2="H",3,IF($B$2="M",2,1))))</f>
        <v>0</v>
      </c>
      <c r="DT64" s="21" t="str">
        <f aca="false">IF(OR($A64="",LOWER(TRIM($A64))="grand total",TRIM($A64)="(blank)"),"",1)</f>
        <v/>
      </c>
      <c r="DU64" s="21" t="n">
        <f aca="false">IF(DT64="",0,DS64)</f>
        <v>0</v>
      </c>
    </row>
    <row r="65" customFormat="false" ht="15" hidden="false" customHeight="false" outlineLevel="0" collapsed="false">
      <c r="DS65" s="21" t="n">
        <f aca="false">IF(OR($A65="",LOWER(TRIM($A65))="grand total",TRIM($A65)="(blank)"),0,IFERROR(INDEX('OCTMS Risk Map'!$C:$C,MATCH($A65,'OCTMS Risk Map'!$A:$A,0)),IF($B$2="H",3,IF($B$2="M",2,1))))</f>
        <v>0</v>
      </c>
      <c r="DT65" s="21" t="str">
        <f aca="false">IF(OR($A65="",LOWER(TRIM($A65))="grand total",TRIM($A65)="(blank)"),"",1)</f>
        <v/>
      </c>
      <c r="DU65" s="21" t="n">
        <f aca="false">IF(DT65="",0,DS65)</f>
        <v>0</v>
      </c>
    </row>
    <row r="66" customFormat="false" ht="15" hidden="false" customHeight="false" outlineLevel="0" collapsed="false">
      <c r="DS66" s="21" t="n">
        <f aca="false">IF(OR($A66="",LOWER(TRIM($A66))="grand total",TRIM($A66)="(blank)"),0,IFERROR(INDEX('OCTMS Risk Map'!$C:$C,MATCH($A66,'OCTMS Risk Map'!$A:$A,0)),IF($B$2="H",3,IF($B$2="M",2,1))))</f>
        <v>0</v>
      </c>
      <c r="DT66" s="21" t="str">
        <f aca="false">IF(OR($A66="",LOWER(TRIM($A66))="grand total",TRIM($A66)="(blank)"),"",1)</f>
        <v/>
      </c>
      <c r="DU66" s="21" t="n">
        <f aca="false">IF(DT66="",0,DS66)</f>
        <v>0</v>
      </c>
    </row>
    <row r="67" customFormat="false" ht="15" hidden="false" customHeight="false" outlineLevel="0" collapsed="false">
      <c r="DS67" s="21" t="n">
        <f aca="false">IF(OR($A67="",LOWER(TRIM($A67))="grand total",TRIM($A67)="(blank)"),0,IFERROR(INDEX('OCTMS Risk Map'!$C:$C,MATCH($A67,'OCTMS Risk Map'!$A:$A,0)),IF($B$2="H",3,IF($B$2="M",2,1))))</f>
        <v>0</v>
      </c>
      <c r="DT67" s="21" t="str">
        <f aca="false">IF(OR($A67="",LOWER(TRIM($A67))="grand total",TRIM($A67)="(blank)"),"",1)</f>
        <v/>
      </c>
      <c r="DU67" s="21" t="n">
        <f aca="false">IF(DT67="",0,DS67)</f>
        <v>0</v>
      </c>
    </row>
    <row r="68" customFormat="false" ht="15" hidden="false" customHeight="false" outlineLevel="0" collapsed="false">
      <c r="DS68" s="21" t="n">
        <f aca="false">IF(OR($A68="",LOWER(TRIM($A68))="grand total",TRIM($A68)="(blank)"),0,IFERROR(INDEX('OCTMS Risk Map'!$C:$C,MATCH($A68,'OCTMS Risk Map'!$A:$A,0)),IF($B$2="H",3,IF($B$2="M",2,1))))</f>
        <v>0</v>
      </c>
      <c r="DT68" s="21" t="str">
        <f aca="false">IF(OR($A68="",LOWER(TRIM($A68))="grand total",TRIM($A68)="(blank)"),"",1)</f>
        <v/>
      </c>
      <c r="DU68" s="21" t="n">
        <f aca="false">IF(DT68="",0,DS68)</f>
        <v>0</v>
      </c>
    </row>
    <row r="69" customFormat="false" ht="15" hidden="false" customHeight="false" outlineLevel="0" collapsed="false">
      <c r="DS69" s="21" t="n">
        <f aca="false">IF(OR($A69="",LOWER(TRIM($A69))="grand total",TRIM($A69)="(blank)"),0,IFERROR(INDEX('OCTMS Risk Map'!$C:$C,MATCH($A69,'OCTMS Risk Map'!$A:$A,0)),IF($B$2="H",3,IF($B$2="M",2,1))))</f>
        <v>0</v>
      </c>
      <c r="DT69" s="21" t="str">
        <f aca="false">IF(OR($A69="",LOWER(TRIM($A69))="grand total",TRIM($A69)="(blank)"),"",1)</f>
        <v/>
      </c>
      <c r="DU69" s="21" t="n">
        <f aca="false">IF(DT69="",0,DS69)</f>
        <v>0</v>
      </c>
    </row>
    <row r="70" customFormat="false" ht="15" hidden="false" customHeight="false" outlineLevel="0" collapsed="false">
      <c r="DS70" s="21" t="n">
        <f aca="false">IF(OR($A70="",LOWER(TRIM($A70))="grand total",TRIM($A70)="(blank)"),0,IFERROR(INDEX('OCTMS Risk Map'!$C:$C,MATCH($A70,'OCTMS Risk Map'!$A:$A,0)),IF($B$2="H",3,IF($B$2="M",2,1))))</f>
        <v>0</v>
      </c>
      <c r="DT70" s="21" t="str">
        <f aca="false">IF(OR($A70="",LOWER(TRIM($A70))="grand total",TRIM($A70)="(blank)"),"",1)</f>
        <v/>
      </c>
      <c r="DU70" s="21" t="n">
        <f aca="false">IF(DT70="",0,DS70)</f>
        <v>0</v>
      </c>
    </row>
    <row r="71" customFormat="false" ht="15" hidden="false" customHeight="false" outlineLevel="0" collapsed="false">
      <c r="DS71" s="21" t="n">
        <f aca="false">IF(OR($A71="",LOWER(TRIM($A71))="grand total",TRIM($A71)="(blank)"),0,IFERROR(INDEX('OCTMS Risk Map'!$C:$C,MATCH($A71,'OCTMS Risk Map'!$A:$A,0)),IF($B$2="H",3,IF($B$2="M",2,1))))</f>
        <v>0</v>
      </c>
      <c r="DT71" s="21" t="str">
        <f aca="false">IF(OR($A71="",LOWER(TRIM($A71))="grand total",TRIM($A71)="(blank)"),"",1)</f>
        <v/>
      </c>
      <c r="DU71" s="21" t="n">
        <f aca="false">IF(DT71="",0,DS71)</f>
        <v>0</v>
      </c>
    </row>
    <row r="72" customFormat="false" ht="15" hidden="false" customHeight="false" outlineLevel="0" collapsed="false">
      <c r="DS72" s="21" t="n">
        <f aca="false">IF(OR($A72="",LOWER(TRIM($A72))="grand total",TRIM($A72)="(blank)"),0,IFERROR(INDEX('OCTMS Risk Map'!$C:$C,MATCH($A72,'OCTMS Risk Map'!$A:$A,0)),IF($B$2="H",3,IF($B$2="M",2,1))))</f>
        <v>0</v>
      </c>
      <c r="DT72" s="21" t="str">
        <f aca="false">IF(OR($A72="",LOWER(TRIM($A72))="grand total",TRIM($A72)="(blank)"),"",1)</f>
        <v/>
      </c>
      <c r="DU72" s="21" t="n">
        <f aca="false">IF(DT72="",0,DS72)</f>
        <v>0</v>
      </c>
    </row>
    <row r="73" customFormat="false" ht="15" hidden="false" customHeight="false" outlineLevel="0" collapsed="false">
      <c r="DS73" s="21" t="n">
        <f aca="false">IF(OR($A73="",LOWER(TRIM($A73))="grand total",TRIM($A73)="(blank)"),0,IFERROR(INDEX('OCTMS Risk Map'!$C:$C,MATCH($A73,'OCTMS Risk Map'!$A:$A,0)),IF($B$2="H",3,IF($B$2="M",2,1))))</f>
        <v>0</v>
      </c>
      <c r="DT73" s="21" t="str">
        <f aca="false">IF(OR($A73="",LOWER(TRIM($A73))="grand total",TRIM($A73)="(blank)"),"",1)</f>
        <v/>
      </c>
      <c r="DU73" s="21" t="n">
        <f aca="false">IF(DT73="",0,DS73)</f>
        <v>0</v>
      </c>
    </row>
    <row r="74" customFormat="false" ht="15" hidden="false" customHeight="false" outlineLevel="0" collapsed="false">
      <c r="DS74" s="21" t="n">
        <f aca="false">IF(OR($A74="",LOWER(TRIM($A74))="grand total",TRIM($A74)="(blank)"),0,IFERROR(INDEX('OCTMS Risk Map'!$C:$C,MATCH($A74,'OCTMS Risk Map'!$A:$A,0)),IF($B$2="H",3,IF($B$2="M",2,1))))</f>
        <v>0</v>
      </c>
      <c r="DT74" s="21" t="str">
        <f aca="false">IF(OR($A74="",LOWER(TRIM($A74))="grand total",TRIM($A74)="(blank)"),"",1)</f>
        <v/>
      </c>
      <c r="DU74" s="21" t="n">
        <f aca="false">IF(DT74="",0,DS74)</f>
        <v>0</v>
      </c>
    </row>
    <row r="75" customFormat="false" ht="15" hidden="false" customHeight="false" outlineLevel="0" collapsed="false">
      <c r="DS75" s="21" t="n">
        <f aca="false">IF(OR($A75="",LOWER(TRIM($A75))="grand total",TRIM($A75)="(blank)"),0,IFERROR(INDEX('OCTMS Risk Map'!$C:$C,MATCH($A75,'OCTMS Risk Map'!$A:$A,0)),IF($B$2="H",3,IF($B$2="M",2,1))))</f>
        <v>0</v>
      </c>
      <c r="DT75" s="21" t="str">
        <f aca="false">IF(OR($A75="",LOWER(TRIM($A75))="grand total",TRIM($A75)="(blank)"),"",1)</f>
        <v/>
      </c>
      <c r="DU75" s="21" t="n">
        <f aca="false">IF(DT75="",0,DS75)</f>
        <v>0</v>
      </c>
    </row>
    <row r="76" customFormat="false" ht="15" hidden="false" customHeight="false" outlineLevel="0" collapsed="false">
      <c r="DS76" s="21" t="n">
        <f aca="false">IF(OR($A76="",LOWER(TRIM($A76))="grand total",TRIM($A76)="(blank)"),0,IFERROR(INDEX('OCTMS Risk Map'!$C:$C,MATCH($A76,'OCTMS Risk Map'!$A:$A,0)),IF($B$2="H",3,IF($B$2="M",2,1))))</f>
        <v>0</v>
      </c>
      <c r="DT76" s="21" t="str">
        <f aca="false">IF(OR($A76="",LOWER(TRIM($A76))="grand total",TRIM($A76)="(blank)"),"",1)</f>
        <v/>
      </c>
      <c r="DU76" s="21" t="n">
        <f aca="false">IF(DT76="",0,DS76)</f>
        <v>0</v>
      </c>
    </row>
    <row r="77" customFormat="false" ht="15" hidden="false" customHeight="false" outlineLevel="0" collapsed="false">
      <c r="DS77" s="21" t="n">
        <f aca="false">IF(OR($A77="",LOWER(TRIM($A77))="grand total",TRIM($A77)="(blank)"),0,IFERROR(INDEX('OCTMS Risk Map'!$C:$C,MATCH($A77,'OCTMS Risk Map'!$A:$A,0)),IF($B$2="H",3,IF($B$2="M",2,1))))</f>
        <v>0</v>
      </c>
      <c r="DT77" s="21" t="str">
        <f aca="false">IF(OR($A77="",LOWER(TRIM($A77))="grand total",TRIM($A77)="(blank)"),"",1)</f>
        <v/>
      </c>
      <c r="DU77" s="21" t="n">
        <f aca="false">IF(DT77="",0,DS77)</f>
        <v>0</v>
      </c>
    </row>
    <row r="78" customFormat="false" ht="15" hidden="false" customHeight="false" outlineLevel="0" collapsed="false">
      <c r="DS78" s="21" t="n">
        <f aca="false">IF(OR($A78="",LOWER(TRIM($A78))="grand total",TRIM($A78)="(blank)"),0,IFERROR(INDEX('OCTMS Risk Map'!$C:$C,MATCH($A78,'OCTMS Risk Map'!$A:$A,0)),IF($B$2="H",3,IF($B$2="M",2,1))))</f>
        <v>0</v>
      </c>
      <c r="DT78" s="21" t="str">
        <f aca="false">IF(OR($A78="",LOWER(TRIM($A78))="grand total",TRIM($A78)="(blank)"),"",1)</f>
        <v/>
      </c>
      <c r="DU78" s="21" t="n">
        <f aca="false">IF(DT78="",0,DS78)</f>
        <v>0</v>
      </c>
    </row>
    <row r="79" customFormat="false" ht="15" hidden="false" customHeight="false" outlineLevel="0" collapsed="false">
      <c r="DS79" s="21" t="n">
        <f aca="false">IF(OR($A79="",LOWER(TRIM($A79))="grand total",TRIM($A79)="(blank)"),0,IFERROR(INDEX('OCTMS Risk Map'!$C:$C,MATCH($A79,'OCTMS Risk Map'!$A:$A,0)),IF($B$2="H",3,IF($B$2="M",2,1))))</f>
        <v>0</v>
      </c>
      <c r="DT79" s="21" t="str">
        <f aca="false">IF(OR($A79="",LOWER(TRIM($A79))="grand total",TRIM($A79)="(blank)"),"",1)</f>
        <v/>
      </c>
      <c r="DU79" s="21" t="n">
        <f aca="false">IF(DT79="",0,DS79)</f>
        <v>0</v>
      </c>
    </row>
    <row r="80" customFormat="false" ht="15" hidden="false" customHeight="false" outlineLevel="0" collapsed="false">
      <c r="DS80" s="21" t="n">
        <f aca="false">IF(OR($A80="",LOWER(TRIM($A80))="grand total",TRIM($A80)="(blank)"),0,IFERROR(INDEX('OCTMS Risk Map'!$C:$C,MATCH($A80,'OCTMS Risk Map'!$A:$A,0)),IF($B$2="H",3,IF($B$2="M",2,1))))</f>
        <v>0</v>
      </c>
      <c r="DT80" s="21" t="str">
        <f aca="false">IF(OR($A80="",LOWER(TRIM($A80))="grand total",TRIM($A80)="(blank)"),"",1)</f>
        <v/>
      </c>
      <c r="DU80" s="21" t="n">
        <f aca="false">IF(DT80="",0,DS80)</f>
        <v>0</v>
      </c>
    </row>
    <row r="81" customFormat="false" ht="15" hidden="false" customHeight="false" outlineLevel="0" collapsed="false">
      <c r="DS81" s="21" t="n">
        <f aca="false">IF(OR($A81="",LOWER(TRIM($A81))="grand total",TRIM($A81)="(blank)"),0,IFERROR(INDEX('OCTMS Risk Map'!$C:$C,MATCH($A81,'OCTMS Risk Map'!$A:$A,0)),IF($B$2="H",3,IF($B$2="M",2,1))))</f>
        <v>0</v>
      </c>
      <c r="DT81" s="21" t="str">
        <f aca="false">IF(OR($A81="",LOWER(TRIM($A81))="grand total",TRIM($A81)="(blank)"),"",1)</f>
        <v/>
      </c>
      <c r="DU81" s="21" t="n">
        <f aca="false">IF(DT81="",0,DS81)</f>
        <v>0</v>
      </c>
    </row>
    <row r="82" customFormat="false" ht="15" hidden="false" customHeight="false" outlineLevel="0" collapsed="false">
      <c r="DS82" s="21" t="n">
        <f aca="false">IF(OR($A82="",LOWER(TRIM($A82))="grand total",TRIM($A82)="(blank)"),0,IFERROR(INDEX('OCTMS Risk Map'!$C:$C,MATCH($A82,'OCTMS Risk Map'!$A:$A,0)),IF($B$2="H",3,IF($B$2="M",2,1))))</f>
        <v>0</v>
      </c>
      <c r="DT82" s="21" t="str">
        <f aca="false">IF(OR($A82="",LOWER(TRIM($A82))="grand total",TRIM($A82)="(blank)"),"",1)</f>
        <v/>
      </c>
      <c r="DU82" s="21" t="n">
        <f aca="false">IF(DT82="",0,DS82)</f>
        <v>0</v>
      </c>
    </row>
    <row r="83" customFormat="false" ht="15" hidden="false" customHeight="false" outlineLevel="0" collapsed="false">
      <c r="DS83" s="21" t="n">
        <f aca="false">IF(OR($A83="",LOWER(TRIM($A83))="grand total",TRIM($A83)="(blank)"),0,IFERROR(INDEX('OCTMS Risk Map'!$C:$C,MATCH($A83,'OCTMS Risk Map'!$A:$A,0)),IF($B$2="H",3,IF($B$2="M",2,1))))</f>
        <v>0</v>
      </c>
      <c r="DT83" s="21" t="str">
        <f aca="false">IF(OR($A83="",LOWER(TRIM($A83))="grand total",TRIM($A83)="(blank)"),"",1)</f>
        <v/>
      </c>
      <c r="DU83" s="21" t="n">
        <f aca="false">IF(DT83="",0,DS83)</f>
        <v>0</v>
      </c>
    </row>
    <row r="84" customFormat="false" ht="15" hidden="false" customHeight="false" outlineLevel="0" collapsed="false">
      <c r="DS84" s="21" t="n">
        <f aca="false">IF(OR($A84="",LOWER(TRIM($A84))="grand total",TRIM($A84)="(blank)"),0,IFERROR(INDEX('OCTMS Risk Map'!$C:$C,MATCH($A84,'OCTMS Risk Map'!$A:$A,0)),IF($B$2="H",3,IF($B$2="M",2,1))))</f>
        <v>0</v>
      </c>
      <c r="DT84" s="21" t="str">
        <f aca="false">IF(OR($A84="",LOWER(TRIM($A84))="grand total",TRIM($A84)="(blank)"),"",1)</f>
        <v/>
      </c>
      <c r="DU84" s="21" t="n">
        <f aca="false">IF(DT84="",0,DS84)</f>
        <v>0</v>
      </c>
    </row>
    <row r="85" customFormat="false" ht="15" hidden="false" customHeight="false" outlineLevel="0" collapsed="false">
      <c r="DS85" s="21" t="n">
        <f aca="false">IF(OR($A85="",LOWER(TRIM($A85))="grand total",TRIM($A85)="(blank)"),0,IFERROR(INDEX('OCTMS Risk Map'!$C:$C,MATCH($A85,'OCTMS Risk Map'!$A:$A,0)),IF($B$2="H",3,IF($B$2="M",2,1))))</f>
        <v>0</v>
      </c>
      <c r="DT85" s="21" t="str">
        <f aca="false">IF(OR($A85="",LOWER(TRIM($A85))="grand total",TRIM($A85)="(blank)"),"",1)</f>
        <v/>
      </c>
      <c r="DU85" s="21" t="n">
        <f aca="false">IF(DT85="",0,DS85)</f>
        <v>0</v>
      </c>
    </row>
    <row r="86" customFormat="false" ht="15" hidden="false" customHeight="false" outlineLevel="0" collapsed="false">
      <c r="DS86" s="21" t="n">
        <f aca="false">IF(OR($A86="",LOWER(TRIM($A86))="grand total",TRIM($A86)="(blank)"),0,IFERROR(INDEX('OCTMS Risk Map'!$C:$C,MATCH($A86,'OCTMS Risk Map'!$A:$A,0)),IF($B$2="H",3,IF($B$2="M",2,1))))</f>
        <v>0</v>
      </c>
      <c r="DT86" s="21" t="str">
        <f aca="false">IF(OR($A86="",LOWER(TRIM($A86))="grand total",TRIM($A86)="(blank)"),"",1)</f>
        <v/>
      </c>
      <c r="DU86" s="21" t="n">
        <f aca="false">IF(DT86="",0,DS86)</f>
        <v>0</v>
      </c>
    </row>
    <row r="87" customFormat="false" ht="15" hidden="false" customHeight="false" outlineLevel="0" collapsed="false">
      <c r="DS87" s="21" t="n">
        <f aca="false">IF(OR($A87="",LOWER(TRIM($A87))="grand total",TRIM($A87)="(blank)"),0,IFERROR(INDEX('OCTMS Risk Map'!$C:$C,MATCH($A87,'OCTMS Risk Map'!$A:$A,0)),IF($B$2="H",3,IF($B$2="M",2,1))))</f>
        <v>0</v>
      </c>
      <c r="DT87" s="21" t="str">
        <f aca="false">IF(OR($A87="",LOWER(TRIM($A87))="grand total",TRIM($A87)="(blank)"),"",1)</f>
        <v/>
      </c>
      <c r="DU87" s="21" t="n">
        <f aca="false">IF(DT87="",0,DS87)</f>
        <v>0</v>
      </c>
    </row>
    <row r="88" customFormat="false" ht="15" hidden="false" customHeight="false" outlineLevel="0" collapsed="false">
      <c r="DS88" s="21" t="n">
        <f aca="false">IF(OR($A88="",LOWER(TRIM($A88))="grand total",TRIM($A88)="(blank)"),0,IFERROR(INDEX('OCTMS Risk Map'!$C:$C,MATCH($A88,'OCTMS Risk Map'!$A:$A,0)),IF($B$2="H",3,IF($B$2="M",2,1))))</f>
        <v>0</v>
      </c>
      <c r="DT88" s="21" t="str">
        <f aca="false">IF(OR($A88="",LOWER(TRIM($A88))="grand total",TRIM($A88)="(blank)"),"",1)</f>
        <v/>
      </c>
      <c r="DU88" s="21" t="n">
        <f aca="false">IF(DT88="",0,DS88)</f>
        <v>0</v>
      </c>
    </row>
    <row r="89" customFormat="false" ht="15" hidden="false" customHeight="false" outlineLevel="0" collapsed="false">
      <c r="DS89" s="21" t="n">
        <f aca="false">IF(OR($A89="",LOWER(TRIM($A89))="grand total",TRIM($A89)="(blank)"),0,IFERROR(INDEX('OCTMS Risk Map'!$C:$C,MATCH($A89,'OCTMS Risk Map'!$A:$A,0)),IF($B$2="H",3,IF($B$2="M",2,1))))</f>
        <v>0</v>
      </c>
      <c r="DT89" s="21" t="str">
        <f aca="false">IF(OR($A89="",LOWER(TRIM($A89))="grand total",TRIM($A89)="(blank)"),"",1)</f>
        <v/>
      </c>
      <c r="DU89" s="21" t="n">
        <f aca="false">IF(DT89="",0,DS89)</f>
        <v>0</v>
      </c>
    </row>
    <row r="90" customFormat="false" ht="15" hidden="false" customHeight="false" outlineLevel="0" collapsed="false">
      <c r="DS90" s="21" t="n">
        <f aca="false">IF(OR($A90="",LOWER(TRIM($A90))="grand total",TRIM($A90)="(blank)"),0,IFERROR(INDEX('OCTMS Risk Map'!$C:$C,MATCH($A90,'OCTMS Risk Map'!$A:$A,0)),IF($B$2="H",3,IF($B$2="M",2,1))))</f>
        <v>0</v>
      </c>
      <c r="DT90" s="21" t="str">
        <f aca="false">IF(OR($A90="",LOWER(TRIM($A90))="grand total",TRIM($A90)="(blank)"),"",1)</f>
        <v/>
      </c>
      <c r="DU90" s="21" t="n">
        <f aca="false">IF(DT90="",0,DS90)</f>
        <v>0</v>
      </c>
    </row>
    <row r="91" customFormat="false" ht="15" hidden="false" customHeight="false" outlineLevel="0" collapsed="false">
      <c r="DS91" s="21" t="n">
        <f aca="false">IF(OR($A91="",LOWER(TRIM($A91))="grand total",TRIM($A91)="(blank)"),0,IFERROR(INDEX('OCTMS Risk Map'!$C:$C,MATCH($A91,'OCTMS Risk Map'!$A:$A,0)),IF($B$2="H",3,IF($B$2="M",2,1))))</f>
        <v>0</v>
      </c>
      <c r="DT91" s="21" t="str">
        <f aca="false">IF(OR($A91="",LOWER(TRIM($A91))="grand total",TRIM($A91)="(blank)"),"",1)</f>
        <v/>
      </c>
      <c r="DU91" s="21" t="n">
        <f aca="false">IF(DT91="",0,DS91)</f>
        <v>0</v>
      </c>
    </row>
    <row r="92" customFormat="false" ht="15" hidden="false" customHeight="false" outlineLevel="0" collapsed="false">
      <c r="DS92" s="21" t="n">
        <f aca="false">IF(OR($A92="",LOWER(TRIM($A92))="grand total",TRIM($A92)="(blank)"),0,IFERROR(INDEX('OCTMS Risk Map'!$C:$C,MATCH($A92,'OCTMS Risk Map'!$A:$A,0)),IF($B$2="H",3,IF($B$2="M",2,1))))</f>
        <v>0</v>
      </c>
      <c r="DT92" s="21" t="str">
        <f aca="false">IF(OR($A92="",LOWER(TRIM($A92))="grand total",TRIM($A92)="(blank)"),"",1)</f>
        <v/>
      </c>
      <c r="DU92" s="21" t="n">
        <f aca="false">IF(DT92="",0,DS92)</f>
        <v>0</v>
      </c>
    </row>
    <row r="93" customFormat="false" ht="15" hidden="false" customHeight="false" outlineLevel="0" collapsed="false">
      <c r="DS93" s="21" t="n">
        <f aca="false">IF(OR($A93="",LOWER(TRIM($A93))="grand total",TRIM($A93)="(blank)"),0,IFERROR(INDEX('OCTMS Risk Map'!$C:$C,MATCH($A93,'OCTMS Risk Map'!$A:$A,0)),IF($B$2="H",3,IF($B$2="M",2,1))))</f>
        <v>0</v>
      </c>
      <c r="DT93" s="21" t="str">
        <f aca="false">IF(OR($A93="",LOWER(TRIM($A93))="grand total",TRIM($A93)="(blank)"),"",1)</f>
        <v/>
      </c>
      <c r="DU93" s="21" t="n">
        <f aca="false">IF(DT93="",0,DS93)</f>
        <v>0</v>
      </c>
    </row>
    <row r="94" customFormat="false" ht="15" hidden="false" customHeight="false" outlineLevel="0" collapsed="false">
      <c r="DS94" s="21" t="n">
        <f aca="false">IF(OR($A94="",LOWER(TRIM($A94))="grand total",TRIM($A94)="(blank)"),0,IFERROR(INDEX('OCTMS Risk Map'!$C:$C,MATCH($A94,'OCTMS Risk Map'!$A:$A,0)),IF($B$2="H",3,IF($B$2="M",2,1))))</f>
        <v>0</v>
      </c>
      <c r="DT94" s="21" t="str">
        <f aca="false">IF(OR($A94="",LOWER(TRIM($A94))="grand total",TRIM($A94)="(blank)"),"",1)</f>
        <v/>
      </c>
      <c r="DU94" s="21" t="n">
        <f aca="false">IF(DT94="",0,DS94)</f>
        <v>0</v>
      </c>
    </row>
    <row r="95" customFormat="false" ht="15" hidden="false" customHeight="false" outlineLevel="0" collapsed="false">
      <c r="DS95" s="21" t="n">
        <f aca="false">IF(OR($A95="",LOWER(TRIM($A95))="grand total",TRIM($A95)="(blank)"),0,IFERROR(INDEX('OCTMS Risk Map'!$C:$C,MATCH($A95,'OCTMS Risk Map'!$A:$A,0)),IF($B$2="H",3,IF($B$2="M",2,1))))</f>
        <v>0</v>
      </c>
      <c r="DT95" s="21" t="str">
        <f aca="false">IF(OR($A95="",LOWER(TRIM($A95))="grand total",TRIM($A95)="(blank)"),"",1)</f>
        <v/>
      </c>
      <c r="DU95" s="21" t="n">
        <f aca="false">IF(DT95="",0,DS95)</f>
        <v>0</v>
      </c>
    </row>
    <row r="96" customFormat="false" ht="15" hidden="false" customHeight="false" outlineLevel="0" collapsed="false">
      <c r="DS96" s="21" t="n">
        <f aca="false">IF(OR($A96="",LOWER(TRIM($A96))="grand total",TRIM($A96)="(blank)"),0,IFERROR(INDEX('OCTMS Risk Map'!$C:$C,MATCH($A96,'OCTMS Risk Map'!$A:$A,0)),IF($B$2="H",3,IF($B$2="M",2,1))))</f>
        <v>0</v>
      </c>
      <c r="DT96" s="21" t="str">
        <f aca="false">IF(OR($A96="",LOWER(TRIM($A96))="grand total",TRIM($A96)="(blank)"),"",1)</f>
        <v/>
      </c>
      <c r="DU96" s="21" t="n">
        <f aca="false">IF(DT96="",0,DS96)</f>
        <v>0</v>
      </c>
    </row>
    <row r="97" customFormat="false" ht="15" hidden="false" customHeight="false" outlineLevel="0" collapsed="false">
      <c r="DS97" s="21" t="n">
        <f aca="false">IF(OR($A97="",LOWER(TRIM($A97))="grand total",TRIM($A97)="(blank)"),0,IFERROR(INDEX('OCTMS Risk Map'!$C:$C,MATCH($A97,'OCTMS Risk Map'!$A:$A,0)),IF($B$2="H",3,IF($B$2="M",2,1))))</f>
        <v>0</v>
      </c>
      <c r="DT97" s="21" t="str">
        <f aca="false">IF(OR($A97="",LOWER(TRIM($A97))="grand total",TRIM($A97)="(blank)"),"",1)</f>
        <v/>
      </c>
      <c r="DU97" s="21" t="n">
        <f aca="false">IF(DT97="",0,DS97)</f>
        <v>0</v>
      </c>
    </row>
    <row r="98" customFormat="false" ht="15" hidden="false" customHeight="false" outlineLevel="0" collapsed="false">
      <c r="DS98" s="21" t="n">
        <f aca="false">IF(OR($A98="",LOWER(TRIM($A98))="grand total",TRIM($A98)="(blank)"),0,IFERROR(INDEX('OCTMS Risk Map'!$C:$C,MATCH($A98,'OCTMS Risk Map'!$A:$A,0)),IF($B$2="H",3,IF($B$2="M",2,1))))</f>
        <v>0</v>
      </c>
      <c r="DT98" s="21" t="str">
        <f aca="false">IF(OR($A98="",LOWER(TRIM($A98))="grand total",TRIM($A98)="(blank)"),"",1)</f>
        <v/>
      </c>
      <c r="DU98" s="21" t="n">
        <f aca="false">IF(DT98="",0,DS98)</f>
        <v>0</v>
      </c>
    </row>
    <row r="99" customFormat="false" ht="15" hidden="false" customHeight="false" outlineLevel="0" collapsed="false">
      <c r="DS99" s="21" t="n">
        <f aca="false">IF(OR($A99="",LOWER(TRIM($A99))="grand total",TRIM($A99)="(blank)"),0,IFERROR(INDEX('OCTMS Risk Map'!$C:$C,MATCH($A99,'OCTMS Risk Map'!$A:$A,0)),IF($B$2="H",3,IF($B$2="M",2,1))))</f>
        <v>0</v>
      </c>
      <c r="DT99" s="21" t="str">
        <f aca="false">IF(OR($A99="",LOWER(TRIM($A99))="grand total",TRIM($A99)="(blank)"),"",1)</f>
        <v/>
      </c>
      <c r="DU99" s="21" t="n">
        <f aca="false">IF(DT99="",0,DS99)</f>
        <v>0</v>
      </c>
    </row>
    <row r="100" customFormat="false" ht="15" hidden="false" customHeight="false" outlineLevel="0" collapsed="false">
      <c r="DS100" s="21" t="n">
        <f aca="false">IF(OR($A100="",LOWER(TRIM($A100))="grand total",TRIM($A100)="(blank)"),0,IFERROR(INDEX('OCTMS Risk Map'!$C:$C,MATCH($A100,'OCTMS Risk Map'!$A:$A,0)),IF($B$2="H",3,IF($B$2="M",2,1))))</f>
        <v>0</v>
      </c>
      <c r="DT100" s="21" t="str">
        <f aca="false">IF(OR($A100="",LOWER(TRIM($A100))="grand total",TRIM($A100)="(blank)"),"",1)</f>
        <v/>
      </c>
      <c r="DU100" s="21" t="n">
        <f aca="false">IF(DT100="",0,DS100)</f>
        <v>0</v>
      </c>
    </row>
    <row r="101" customFormat="false" ht="15" hidden="false" customHeight="false" outlineLevel="0" collapsed="false">
      <c r="DS101" s="21" t="n">
        <f aca="false">IF(OR($A101="",LOWER(TRIM($A101))="grand total",TRIM($A101)="(blank)"),0,IFERROR(INDEX('OCTMS Risk Map'!$C:$C,MATCH($A101,'OCTMS Risk Map'!$A:$A,0)),IF($B$2="H",3,IF($B$2="M",2,1))))</f>
        <v>0</v>
      </c>
      <c r="DT101" s="21" t="str">
        <f aca="false">IF(OR($A101="",LOWER(TRIM($A101))="grand total",TRIM($A101)="(blank)"),"",1)</f>
        <v/>
      </c>
      <c r="DU101" s="21" t="n">
        <f aca="false">IF(DT101="",0,DS101)</f>
        <v>0</v>
      </c>
    </row>
    <row r="102" customFormat="false" ht="15" hidden="false" customHeight="false" outlineLevel="0" collapsed="false">
      <c r="DS102" s="21" t="n">
        <f aca="false">IF(OR($A102="",LOWER(TRIM($A102))="grand total",TRIM($A102)="(blank)"),0,IFERROR(INDEX('OCTMS Risk Map'!$C:$C,MATCH($A102,'OCTMS Risk Map'!$A:$A,0)),IF($B$2="H",3,IF($B$2="M",2,1))))</f>
        <v>0</v>
      </c>
      <c r="DT102" s="21" t="str">
        <f aca="false">IF(OR($A102="",LOWER(TRIM($A102))="grand total",TRIM($A102)="(blank)"),"",1)</f>
        <v/>
      </c>
      <c r="DU102" s="21" t="n">
        <f aca="false">IF(DT102="",0,DS102)</f>
        <v>0</v>
      </c>
    </row>
    <row r="103" customFormat="false" ht="15" hidden="false" customHeight="false" outlineLevel="0" collapsed="false">
      <c r="DS103" s="21" t="n">
        <f aca="false">IF(OR($A103="",LOWER(TRIM($A103))="grand total",TRIM($A103)="(blank)"),0,IFERROR(INDEX('OCTMS Risk Map'!$C:$C,MATCH($A103,'OCTMS Risk Map'!$A:$A,0)),IF($B$2="H",3,IF($B$2="M",2,1))))</f>
        <v>0</v>
      </c>
      <c r="DT103" s="21" t="str">
        <f aca="false">IF(OR($A103="",LOWER(TRIM($A103))="grand total",TRIM($A103)="(blank)"),"",1)</f>
        <v/>
      </c>
      <c r="DU103" s="21" t="n">
        <f aca="false">IF(DT103="",0,DS103)</f>
        <v>0</v>
      </c>
    </row>
    <row r="104" customFormat="false" ht="15" hidden="false" customHeight="false" outlineLevel="0" collapsed="false">
      <c r="DS104" s="21" t="n">
        <f aca="false">IF(OR($A104="",LOWER(TRIM($A104))="grand total",TRIM($A104)="(blank)"),0,IFERROR(INDEX('OCTMS Risk Map'!$C:$C,MATCH($A104,'OCTMS Risk Map'!$A:$A,0)),IF($B$2="H",3,IF($B$2="M",2,1))))</f>
        <v>0</v>
      </c>
      <c r="DT104" s="21" t="str">
        <f aca="false">IF(OR($A104="",LOWER(TRIM($A104))="grand total",TRIM($A104)="(blank)"),"",1)</f>
        <v/>
      </c>
      <c r="DU104" s="21" t="n">
        <f aca="false">IF(DT104="",0,DS104)</f>
        <v>0</v>
      </c>
    </row>
    <row r="105" customFormat="false" ht="15" hidden="false" customHeight="false" outlineLevel="0" collapsed="false">
      <c r="DS105" s="21" t="n">
        <f aca="false">IF(OR($A105="",LOWER(TRIM($A105))="grand total",TRIM($A105)="(blank)"),0,IFERROR(INDEX('OCTMS Risk Map'!$C:$C,MATCH($A105,'OCTMS Risk Map'!$A:$A,0)),IF($B$2="H",3,IF($B$2="M",2,1))))</f>
        <v>0</v>
      </c>
      <c r="DT105" s="21" t="str">
        <f aca="false">IF(OR($A105="",LOWER(TRIM($A105))="grand total",TRIM($A105)="(blank)"),"",1)</f>
        <v/>
      </c>
      <c r="DU105" s="21" t="n">
        <f aca="false">IF(DT105="",0,DS105)</f>
        <v>0</v>
      </c>
    </row>
    <row r="106" customFormat="false" ht="15" hidden="false" customHeight="false" outlineLevel="0" collapsed="false">
      <c r="DS106" s="21" t="n">
        <f aca="false">IF(OR($A106="",LOWER(TRIM($A106))="grand total",TRIM($A106)="(blank)"),0,IFERROR(INDEX('OCTMS Risk Map'!$C:$C,MATCH($A106,'OCTMS Risk Map'!$A:$A,0)),IF($B$2="H",3,IF($B$2="M",2,1))))</f>
        <v>0</v>
      </c>
      <c r="DT106" s="21" t="str">
        <f aca="false">IF(OR($A106="",LOWER(TRIM($A106))="grand total",TRIM($A106)="(blank)"),"",1)</f>
        <v/>
      </c>
      <c r="DU106" s="21" t="n">
        <f aca="false">IF(DT106="",0,DS106)</f>
        <v>0</v>
      </c>
    </row>
    <row r="107" customFormat="false" ht="15" hidden="false" customHeight="false" outlineLevel="0" collapsed="false">
      <c r="DS107" s="21" t="n">
        <f aca="false">IF(OR($A107="",LOWER(TRIM($A107))="grand total",TRIM($A107)="(blank)"),0,IFERROR(INDEX('OCTMS Risk Map'!$C:$C,MATCH($A107,'OCTMS Risk Map'!$A:$A,0)),IF($B$2="H",3,IF($B$2="M",2,1))))</f>
        <v>0</v>
      </c>
      <c r="DT107" s="21" t="str">
        <f aca="false">IF(OR($A107="",LOWER(TRIM($A107))="grand total",TRIM($A107)="(blank)"),"",1)</f>
        <v/>
      </c>
      <c r="DU107" s="21" t="n">
        <f aca="false">IF(DT107="",0,DS107)</f>
        <v>0</v>
      </c>
    </row>
    <row r="108" customFormat="false" ht="15" hidden="false" customHeight="false" outlineLevel="0" collapsed="false">
      <c r="DS108" s="21" t="n">
        <f aca="false">IF(OR($A108="",LOWER(TRIM($A108))="grand total",TRIM($A108)="(blank)"),0,IFERROR(INDEX('OCTMS Risk Map'!$C:$C,MATCH($A108,'OCTMS Risk Map'!$A:$A,0)),IF($B$2="H",3,IF($B$2="M",2,1))))</f>
        <v>0</v>
      </c>
      <c r="DT108" s="21" t="str">
        <f aca="false">IF(OR($A108="",LOWER(TRIM($A108))="grand total",TRIM($A108)="(blank)"),"",1)</f>
        <v/>
      </c>
      <c r="DU108" s="21" t="n">
        <f aca="false">IF(DT108="",0,DS108)</f>
        <v>0</v>
      </c>
    </row>
    <row r="109" customFormat="false" ht="15" hidden="false" customHeight="false" outlineLevel="0" collapsed="false">
      <c r="DS109" s="21" t="n">
        <f aca="false">IF(OR($A109="",LOWER(TRIM($A109))="grand total",TRIM($A109)="(blank)"),0,IFERROR(INDEX('OCTMS Risk Map'!$C:$C,MATCH($A109,'OCTMS Risk Map'!$A:$A,0)),IF($B$2="H",3,IF($B$2="M",2,1))))</f>
        <v>0</v>
      </c>
      <c r="DT109" s="21" t="str">
        <f aca="false">IF(OR($A109="",LOWER(TRIM($A109))="grand total",TRIM($A109)="(blank)"),"",1)</f>
        <v/>
      </c>
      <c r="DU109" s="21" t="n">
        <f aca="false">IF(DT109="",0,DS109)</f>
        <v>0</v>
      </c>
    </row>
    <row r="110" customFormat="false" ht="15" hidden="false" customHeight="false" outlineLevel="0" collapsed="false">
      <c r="DS110" s="21" t="n">
        <f aca="false">IF(OR($A110="",LOWER(TRIM($A110))="grand total",TRIM($A110)="(blank)"),0,IFERROR(INDEX('OCTMS Risk Map'!$C:$C,MATCH($A110,'OCTMS Risk Map'!$A:$A,0)),IF($B$2="H",3,IF($B$2="M",2,1))))</f>
        <v>0</v>
      </c>
      <c r="DT110" s="21" t="str">
        <f aca="false">IF(OR($A110="",LOWER(TRIM($A110))="grand total",TRIM($A110)="(blank)"),"",1)</f>
        <v/>
      </c>
      <c r="DU110" s="21" t="n">
        <f aca="false">IF(DT110="",0,DS110)</f>
        <v>0</v>
      </c>
    </row>
    <row r="111" customFormat="false" ht="15" hidden="false" customHeight="false" outlineLevel="0" collapsed="false">
      <c r="DS111" s="21" t="n">
        <f aca="false">IF(OR($A111="",LOWER(TRIM($A111))="grand total",TRIM($A111)="(blank)"),0,IFERROR(INDEX('OCTMS Risk Map'!$C:$C,MATCH($A111,'OCTMS Risk Map'!$A:$A,0)),IF($B$2="H",3,IF($B$2="M",2,1))))</f>
        <v>0</v>
      </c>
      <c r="DT111" s="21" t="str">
        <f aca="false">IF(OR($A111="",LOWER(TRIM($A111))="grand total",TRIM($A111)="(blank)"),"",1)</f>
        <v/>
      </c>
      <c r="DU111" s="21" t="n">
        <f aca="false">IF(DT111="",0,DS111)</f>
        <v>0</v>
      </c>
    </row>
    <row r="112" customFormat="false" ht="15" hidden="false" customHeight="false" outlineLevel="0" collapsed="false">
      <c r="DS112" s="21" t="n">
        <f aca="false">IF(OR($A112="",LOWER(TRIM($A112))="grand total",TRIM($A112)="(blank)"),0,IFERROR(INDEX('OCTMS Risk Map'!$C:$C,MATCH($A112,'OCTMS Risk Map'!$A:$A,0)),IF($B$2="H",3,IF($B$2="M",2,1))))</f>
        <v>0</v>
      </c>
      <c r="DT112" s="21" t="str">
        <f aca="false">IF(OR($A112="",LOWER(TRIM($A112))="grand total",TRIM($A112)="(blank)"),"",1)</f>
        <v/>
      </c>
      <c r="DU112" s="21" t="n">
        <f aca="false">IF(DT112="",0,DS112)</f>
        <v>0</v>
      </c>
    </row>
    <row r="113" customFormat="false" ht="15" hidden="false" customHeight="false" outlineLevel="0" collapsed="false">
      <c r="DS113" s="21" t="n">
        <f aca="false">IF(OR($A113="",LOWER(TRIM($A113))="grand total",TRIM($A113)="(blank)"),0,IFERROR(INDEX('OCTMS Risk Map'!$C:$C,MATCH($A113,'OCTMS Risk Map'!$A:$A,0)),IF($B$2="H",3,IF($B$2="M",2,1))))</f>
        <v>0</v>
      </c>
      <c r="DT113" s="21" t="str">
        <f aca="false">IF(OR($A113="",LOWER(TRIM($A113))="grand total",TRIM($A113)="(blank)"),"",1)</f>
        <v/>
      </c>
      <c r="DU113" s="21" t="n">
        <f aca="false">IF(DT113="",0,DS113)</f>
        <v>0</v>
      </c>
    </row>
    <row r="114" customFormat="false" ht="15" hidden="false" customHeight="false" outlineLevel="0" collapsed="false">
      <c r="DS114" s="21" t="n">
        <f aca="false">IF(OR($A114="",LOWER(TRIM($A114))="grand total",TRIM($A114)="(blank)"),0,IFERROR(INDEX('OCTMS Risk Map'!$C:$C,MATCH($A114,'OCTMS Risk Map'!$A:$A,0)),IF($B$2="H",3,IF($B$2="M",2,1))))</f>
        <v>0</v>
      </c>
      <c r="DT114" s="21" t="str">
        <f aca="false">IF(OR($A114="",LOWER(TRIM($A114))="grand total",TRIM($A114)="(blank)"),"",1)</f>
        <v/>
      </c>
      <c r="DU114" s="21" t="n">
        <f aca="false">IF(DT114="",0,DS114)</f>
        <v>0</v>
      </c>
    </row>
    <row r="115" customFormat="false" ht="15" hidden="false" customHeight="false" outlineLevel="0" collapsed="false">
      <c r="DS115" s="21" t="n">
        <f aca="false">IF(OR($A115="",LOWER(TRIM($A115))="grand total",TRIM($A115)="(blank)"),0,IFERROR(INDEX('OCTMS Risk Map'!$C:$C,MATCH($A115,'OCTMS Risk Map'!$A:$A,0)),IF($B$2="H",3,IF($B$2="M",2,1))))</f>
        <v>0</v>
      </c>
      <c r="DT115" s="21" t="str">
        <f aca="false">IF(OR($A115="",LOWER(TRIM($A115))="grand total",TRIM($A115)="(blank)"),"",1)</f>
        <v/>
      </c>
      <c r="DU115" s="21" t="n">
        <f aca="false">IF(DT115="",0,DS115)</f>
        <v>0</v>
      </c>
    </row>
    <row r="116" customFormat="false" ht="15" hidden="false" customHeight="false" outlineLevel="0" collapsed="false">
      <c r="DS116" s="21" t="n">
        <f aca="false">IF(OR($A116="",LOWER(TRIM($A116))="grand total",TRIM($A116)="(blank)"),0,IFERROR(INDEX('OCTMS Risk Map'!$C:$C,MATCH($A116,'OCTMS Risk Map'!$A:$A,0)),IF($B$2="H",3,IF($B$2="M",2,1))))</f>
        <v>0</v>
      </c>
      <c r="DT116" s="21" t="str">
        <f aca="false">IF(OR($A116="",LOWER(TRIM($A116))="grand total",TRIM($A116)="(blank)"),"",1)</f>
        <v/>
      </c>
      <c r="DU116" s="21" t="n">
        <f aca="false">IF(DT116="",0,DS116)</f>
        <v>0</v>
      </c>
    </row>
    <row r="117" customFormat="false" ht="15" hidden="false" customHeight="false" outlineLevel="0" collapsed="false">
      <c r="DS117" s="21" t="n">
        <f aca="false">IF(OR($A117="",LOWER(TRIM($A117))="grand total",TRIM($A117)="(blank)"),0,IFERROR(INDEX('OCTMS Risk Map'!$C:$C,MATCH($A117,'OCTMS Risk Map'!$A:$A,0)),IF($B$2="H",3,IF($B$2="M",2,1))))</f>
        <v>0</v>
      </c>
      <c r="DT117" s="21" t="str">
        <f aca="false">IF(OR($A117="",LOWER(TRIM($A117))="grand total",TRIM($A117)="(blank)"),"",1)</f>
        <v/>
      </c>
      <c r="DU117" s="21" t="n">
        <f aca="false">IF(DT117="",0,DS117)</f>
        <v>0</v>
      </c>
    </row>
    <row r="118" customFormat="false" ht="15" hidden="false" customHeight="false" outlineLevel="0" collapsed="false">
      <c r="DS118" s="21" t="n">
        <f aca="false">IF(OR($A118="",LOWER(TRIM($A118))="grand total",TRIM($A118)="(blank)"),0,IFERROR(INDEX('OCTMS Risk Map'!$C:$C,MATCH($A118,'OCTMS Risk Map'!$A:$A,0)),IF($B$2="H",3,IF($B$2="M",2,1))))</f>
        <v>0</v>
      </c>
      <c r="DT118" s="21" t="str">
        <f aca="false">IF(OR($A118="",LOWER(TRIM($A118))="grand total",TRIM($A118)="(blank)"),"",1)</f>
        <v/>
      </c>
      <c r="DU118" s="21" t="n">
        <f aca="false">IF(DT118="",0,DS118)</f>
        <v>0</v>
      </c>
    </row>
    <row r="119" customFormat="false" ht="15" hidden="false" customHeight="false" outlineLevel="0" collapsed="false">
      <c r="DS119" s="21" t="n">
        <f aca="false">IF(OR($A119="",LOWER(TRIM($A119))="grand total",TRIM($A119)="(blank)"),0,IFERROR(INDEX('OCTMS Risk Map'!$C:$C,MATCH($A119,'OCTMS Risk Map'!$A:$A,0)),IF($B$2="H",3,IF($B$2="M",2,1))))</f>
        <v>0</v>
      </c>
      <c r="DT119" s="21" t="str">
        <f aca="false">IF(OR($A119="",LOWER(TRIM($A119))="grand total",TRIM($A119)="(blank)"),"",1)</f>
        <v/>
      </c>
      <c r="DU119" s="21" t="n">
        <f aca="false">IF(DT119="",0,DS119)</f>
        <v>0</v>
      </c>
    </row>
    <row r="120" customFormat="false" ht="15" hidden="false" customHeight="false" outlineLevel="0" collapsed="false">
      <c r="DS120" s="21" t="n">
        <f aca="false">IF(OR($A120="",LOWER(TRIM($A120))="grand total",TRIM($A120)="(blank)"),0,IFERROR(INDEX('OCTMS Risk Map'!$C:$C,MATCH($A120,'OCTMS Risk Map'!$A:$A,0)),IF($B$2="H",3,IF($B$2="M",2,1))))</f>
        <v>0</v>
      </c>
      <c r="DT120" s="21" t="str">
        <f aca="false">IF(OR($A120="",LOWER(TRIM($A120))="grand total",TRIM($A120)="(blank)"),"",1)</f>
        <v/>
      </c>
      <c r="DU120" s="21" t="n">
        <f aca="false">IF(DT120="",0,DS120)</f>
        <v>0</v>
      </c>
    </row>
    <row r="121" customFormat="false" ht="15" hidden="false" customHeight="false" outlineLevel="0" collapsed="false">
      <c r="DS121" s="21" t="n">
        <f aca="false">IF(OR($A121="",LOWER(TRIM($A121))="grand total",TRIM($A121)="(blank)"),0,IFERROR(INDEX('OCTMS Risk Map'!$C:$C,MATCH($A121,'OCTMS Risk Map'!$A:$A,0)),IF($B$2="H",3,IF($B$2="M",2,1))))</f>
        <v>0</v>
      </c>
      <c r="DT121" s="21" t="str">
        <f aca="false">IF(OR($A121="",LOWER(TRIM($A121))="grand total",TRIM($A121)="(blank)"),"",1)</f>
        <v/>
      </c>
      <c r="DU121" s="21" t="n">
        <f aca="false">IF(DT121="",0,DS121)</f>
        <v>0</v>
      </c>
    </row>
    <row r="122" customFormat="false" ht="15" hidden="false" customHeight="false" outlineLevel="0" collapsed="false">
      <c r="DS122" s="21" t="n">
        <f aca="false">IF(OR($A122="",LOWER(TRIM($A122))="grand total",TRIM($A122)="(blank)"),0,IFERROR(INDEX('OCTMS Risk Map'!$C:$C,MATCH($A122,'OCTMS Risk Map'!$A:$A,0)),IF($B$2="H",3,IF($B$2="M",2,1))))</f>
        <v>0</v>
      </c>
      <c r="DT122" s="21" t="str">
        <f aca="false">IF(OR($A122="",LOWER(TRIM($A122))="grand total",TRIM($A122)="(blank)"),"",1)</f>
        <v/>
      </c>
      <c r="DU122" s="21" t="n">
        <f aca="false">IF(DT122="",0,DS122)</f>
        <v>0</v>
      </c>
    </row>
    <row r="123" customFormat="false" ht="15" hidden="false" customHeight="false" outlineLevel="0" collapsed="false">
      <c r="DS123" s="21" t="n">
        <f aca="false">IF(OR($A123="",LOWER(TRIM($A123))="grand total",TRIM($A123)="(blank)"),0,IFERROR(INDEX('OCTMS Risk Map'!$C:$C,MATCH($A123,'OCTMS Risk Map'!$A:$A,0)),IF($B$2="H",3,IF($B$2="M",2,1))))</f>
        <v>0</v>
      </c>
      <c r="DT123" s="21" t="str">
        <f aca="false">IF(OR($A123="",LOWER(TRIM($A123))="grand total",TRIM($A123)="(blank)"),"",1)</f>
        <v/>
      </c>
      <c r="DU123" s="21" t="n">
        <f aca="false">IF(DT123="",0,DS123)</f>
        <v>0</v>
      </c>
    </row>
    <row r="124" customFormat="false" ht="15" hidden="false" customHeight="false" outlineLevel="0" collapsed="false">
      <c r="DS124" s="21" t="n">
        <f aca="false">IF(OR($A124="",LOWER(TRIM($A124))="grand total",TRIM($A124)="(blank)"),0,IFERROR(INDEX('OCTMS Risk Map'!$C:$C,MATCH($A124,'OCTMS Risk Map'!$A:$A,0)),IF($B$2="H",3,IF($B$2="M",2,1))))</f>
        <v>0</v>
      </c>
      <c r="DT124" s="21" t="str">
        <f aca="false">IF(OR($A124="",LOWER(TRIM($A124))="grand total",TRIM($A124)="(blank)"),"",1)</f>
        <v/>
      </c>
      <c r="DU124" s="21" t="n">
        <f aca="false">IF(DT124="",0,DS124)</f>
        <v>0</v>
      </c>
    </row>
    <row r="125" customFormat="false" ht="15" hidden="false" customHeight="false" outlineLevel="0" collapsed="false">
      <c r="DS125" s="21" t="n">
        <f aca="false">IF(OR($A125="",LOWER(TRIM($A125))="grand total",TRIM($A125)="(blank)"),0,IFERROR(INDEX('OCTMS Risk Map'!$C:$C,MATCH($A125,'OCTMS Risk Map'!$A:$A,0)),IF($B$2="H",3,IF($B$2="M",2,1))))</f>
        <v>0</v>
      </c>
      <c r="DT125" s="21" t="str">
        <f aca="false">IF(OR($A125="",LOWER(TRIM($A125))="grand total",TRIM($A125)="(blank)"),"",1)</f>
        <v/>
      </c>
      <c r="DU125" s="21" t="n">
        <f aca="false">IF(DT125="",0,DS125)</f>
        <v>0</v>
      </c>
    </row>
    <row r="126" customFormat="false" ht="15" hidden="false" customHeight="false" outlineLevel="0" collapsed="false">
      <c r="DS126" s="21" t="n">
        <f aca="false">IF(OR($A126="",LOWER(TRIM($A126))="grand total",TRIM($A126)="(blank)"),0,IFERROR(INDEX('OCTMS Risk Map'!$C:$C,MATCH($A126,'OCTMS Risk Map'!$A:$A,0)),IF($B$2="H",3,IF($B$2="M",2,1))))</f>
        <v>0</v>
      </c>
      <c r="DT126" s="21" t="str">
        <f aca="false">IF(OR($A126="",LOWER(TRIM($A126))="grand total",TRIM($A126)="(blank)"),"",1)</f>
        <v/>
      </c>
      <c r="DU126" s="21" t="n">
        <f aca="false">IF(DT126="",0,DS126)</f>
        <v>0</v>
      </c>
    </row>
    <row r="127" customFormat="false" ht="15" hidden="false" customHeight="false" outlineLevel="0" collapsed="false">
      <c r="DS127" s="21" t="n">
        <f aca="false">IF(OR($A127="",LOWER(TRIM($A127))="grand total",TRIM($A127)="(blank)"),0,IFERROR(INDEX('OCTMS Risk Map'!$C:$C,MATCH($A127,'OCTMS Risk Map'!$A:$A,0)),IF($B$2="H",3,IF($B$2="M",2,1))))</f>
        <v>0</v>
      </c>
      <c r="DT127" s="21" t="str">
        <f aca="false">IF(OR($A127="",LOWER(TRIM($A127))="grand total",TRIM($A127)="(blank)"),"",1)</f>
        <v/>
      </c>
      <c r="DU127" s="21" t="n">
        <f aca="false">IF(DT127="",0,DS127)</f>
        <v>0</v>
      </c>
    </row>
    <row r="128" customFormat="false" ht="15" hidden="false" customHeight="false" outlineLevel="0" collapsed="false">
      <c r="DS128" s="21" t="n">
        <f aca="false">IF(OR($A128="",LOWER(TRIM($A128))="grand total",TRIM($A128)="(blank)"),0,IFERROR(INDEX('OCTMS Risk Map'!$C:$C,MATCH($A128,'OCTMS Risk Map'!$A:$A,0)),IF($B$2="H",3,IF($B$2="M",2,1))))</f>
        <v>0</v>
      </c>
      <c r="DT128" s="21" t="str">
        <f aca="false">IF(OR($A128="",LOWER(TRIM($A128))="grand total",TRIM($A128)="(blank)"),"",1)</f>
        <v/>
      </c>
      <c r="DU128" s="21" t="n">
        <f aca="false">IF(DT128="",0,DS128)</f>
        <v>0</v>
      </c>
    </row>
    <row r="129" customFormat="false" ht="15" hidden="false" customHeight="false" outlineLevel="0" collapsed="false">
      <c r="DS129" s="21" t="n">
        <f aca="false">IF(OR($A129="",LOWER(TRIM($A129))="grand total",TRIM($A129)="(blank)"),0,IFERROR(INDEX('OCTMS Risk Map'!$C:$C,MATCH($A129,'OCTMS Risk Map'!$A:$A,0)),IF($B$2="H",3,IF($B$2="M",2,1))))</f>
        <v>0</v>
      </c>
      <c r="DT129" s="21" t="str">
        <f aca="false">IF(OR($A129="",LOWER(TRIM($A129))="grand total",TRIM($A129)="(blank)"),"",1)</f>
        <v/>
      </c>
      <c r="DU129" s="21" t="n">
        <f aca="false">IF(DT129="",0,DS129)</f>
        <v>0</v>
      </c>
    </row>
    <row r="130" customFormat="false" ht="15" hidden="false" customHeight="false" outlineLevel="0" collapsed="false">
      <c r="DS130" s="21" t="n">
        <f aca="false">IF(OR($A130="",LOWER(TRIM($A130))="grand total",TRIM($A130)="(blank)"),0,IFERROR(INDEX('OCTMS Risk Map'!$C:$C,MATCH($A130,'OCTMS Risk Map'!$A:$A,0)),IF($B$2="H",3,IF($B$2="M",2,1))))</f>
        <v>0</v>
      </c>
      <c r="DT130" s="21" t="str">
        <f aca="false">IF(OR($A130="",LOWER(TRIM($A130))="grand total",TRIM($A130)="(blank)"),"",1)</f>
        <v/>
      </c>
      <c r="DU130" s="21" t="n">
        <f aca="false">IF(DT130="",0,DS130)</f>
        <v>0</v>
      </c>
    </row>
    <row r="131" customFormat="false" ht="15" hidden="false" customHeight="false" outlineLevel="0" collapsed="false">
      <c r="DS131" s="21" t="n">
        <f aca="false">IF(OR($A131="",LOWER(TRIM($A131))="grand total",TRIM($A131)="(blank)"),0,IFERROR(INDEX('OCTMS Risk Map'!$C:$C,MATCH($A131,'OCTMS Risk Map'!$A:$A,0)),IF($B$2="H",3,IF($B$2="M",2,1))))</f>
        <v>0</v>
      </c>
      <c r="DT131" s="21" t="str">
        <f aca="false">IF(OR($A131="",LOWER(TRIM($A131))="grand total",TRIM($A131)="(blank)"),"",1)</f>
        <v/>
      </c>
      <c r="DU131" s="21" t="n">
        <f aca="false">IF(DT131="",0,DS131)</f>
        <v>0</v>
      </c>
    </row>
    <row r="132" customFormat="false" ht="15" hidden="false" customHeight="false" outlineLevel="0" collapsed="false">
      <c r="DS132" s="21" t="n">
        <f aca="false">IF(OR($A132="",LOWER(TRIM($A132))="grand total",TRIM($A132)="(blank)"),0,IFERROR(INDEX('OCTMS Risk Map'!$C:$C,MATCH($A132,'OCTMS Risk Map'!$A:$A,0)),IF($B$2="H",3,IF($B$2="M",2,1))))</f>
        <v>0</v>
      </c>
      <c r="DT132" s="21" t="str">
        <f aca="false">IF(OR($A132="",LOWER(TRIM($A132))="grand total",TRIM($A132)="(blank)"),"",1)</f>
        <v/>
      </c>
      <c r="DU132" s="21" t="n">
        <f aca="false">IF(DT132="",0,DS132)</f>
        <v>0</v>
      </c>
    </row>
    <row r="133" customFormat="false" ht="15" hidden="false" customHeight="false" outlineLevel="0" collapsed="false">
      <c r="DS133" s="21" t="n">
        <f aca="false">IF(OR($A133="",LOWER(TRIM($A133))="grand total",TRIM($A133)="(blank)"),0,IFERROR(INDEX('OCTMS Risk Map'!$C:$C,MATCH($A133,'OCTMS Risk Map'!$A:$A,0)),IF($B$2="H",3,IF($B$2="M",2,1))))</f>
        <v>0</v>
      </c>
      <c r="DT133" s="21" t="str">
        <f aca="false">IF(OR($A133="",LOWER(TRIM($A133))="grand total",TRIM($A133)="(blank)"),"",1)</f>
        <v/>
      </c>
      <c r="DU133" s="21" t="n">
        <f aca="false">IF(DT133="",0,DS133)</f>
        <v>0</v>
      </c>
    </row>
    <row r="134" customFormat="false" ht="15" hidden="false" customHeight="false" outlineLevel="0" collapsed="false">
      <c r="DS134" s="21" t="n">
        <f aca="false">IF(OR($A134="",LOWER(TRIM($A134))="grand total",TRIM($A134)="(blank)"),0,IFERROR(INDEX('OCTMS Risk Map'!$C:$C,MATCH($A134,'OCTMS Risk Map'!$A:$A,0)),IF($B$2="H",3,IF($B$2="M",2,1))))</f>
        <v>0</v>
      </c>
      <c r="DT134" s="21" t="str">
        <f aca="false">IF(OR($A134="",LOWER(TRIM($A134))="grand total",TRIM($A134)="(blank)"),"",1)</f>
        <v/>
      </c>
      <c r="DU134" s="21" t="n">
        <f aca="false">IF(DT134="",0,DS134)</f>
        <v>0</v>
      </c>
    </row>
    <row r="135" customFormat="false" ht="15" hidden="false" customHeight="false" outlineLevel="0" collapsed="false">
      <c r="DS135" s="21" t="n">
        <f aca="false">IF(OR($A135="",LOWER(TRIM($A135))="grand total",TRIM($A135)="(blank)"),0,IFERROR(INDEX('OCTMS Risk Map'!$C:$C,MATCH($A135,'OCTMS Risk Map'!$A:$A,0)),IF($B$2="H",3,IF($B$2="M",2,1))))</f>
        <v>0</v>
      </c>
      <c r="DT135" s="21" t="str">
        <f aca="false">IF(OR($A135="",LOWER(TRIM($A135))="grand total",TRIM($A135)="(blank)"),"",1)</f>
        <v/>
      </c>
      <c r="DU135" s="21" t="n">
        <f aca="false">IF(DT135="",0,DS135)</f>
        <v>0</v>
      </c>
    </row>
    <row r="136" customFormat="false" ht="15" hidden="false" customHeight="false" outlineLevel="0" collapsed="false">
      <c r="DS136" s="21" t="n">
        <f aca="false">IF(OR($A136="",LOWER(TRIM($A136))="grand total",TRIM($A136)="(blank)"),0,IFERROR(INDEX('OCTMS Risk Map'!$C:$C,MATCH($A136,'OCTMS Risk Map'!$A:$A,0)),IF($B$2="H",3,IF($B$2="M",2,1))))</f>
        <v>0</v>
      </c>
      <c r="DT136" s="21" t="str">
        <f aca="false">IF(OR($A136="",LOWER(TRIM($A136))="grand total",TRIM($A136)="(blank)"),"",1)</f>
        <v/>
      </c>
      <c r="DU136" s="21" t="n">
        <f aca="false">IF(DT136="",0,DS136)</f>
        <v>0</v>
      </c>
    </row>
    <row r="137" customFormat="false" ht="15" hidden="false" customHeight="false" outlineLevel="0" collapsed="false">
      <c r="DS137" s="21" t="n">
        <f aca="false">IF(OR($A137="",LOWER(TRIM($A137))="grand total",TRIM($A137)="(blank)"),0,IFERROR(INDEX('OCTMS Risk Map'!$C:$C,MATCH($A137,'OCTMS Risk Map'!$A:$A,0)),IF($B$2="H",3,IF($B$2="M",2,1))))</f>
        <v>0</v>
      </c>
      <c r="DT137" s="21" t="str">
        <f aca="false">IF(OR($A137="",LOWER(TRIM($A137))="grand total",TRIM($A137)="(blank)"),"",1)</f>
        <v/>
      </c>
      <c r="DU137" s="21" t="n">
        <f aca="false">IF(DT137="",0,DS137)</f>
        <v>0</v>
      </c>
    </row>
    <row r="138" customFormat="false" ht="15" hidden="false" customHeight="false" outlineLevel="0" collapsed="false">
      <c r="DS138" s="21" t="n">
        <f aca="false">IF(OR($A138="",LOWER(TRIM($A138))="grand total",TRIM($A138)="(blank)"),0,IFERROR(INDEX('OCTMS Risk Map'!$C:$C,MATCH($A138,'OCTMS Risk Map'!$A:$A,0)),IF($B$2="H",3,IF($B$2="M",2,1))))</f>
        <v>0</v>
      </c>
      <c r="DT138" s="21" t="str">
        <f aca="false">IF(OR($A138="",LOWER(TRIM($A138))="grand total",TRIM($A138)="(blank)"),"",1)</f>
        <v/>
      </c>
      <c r="DU138" s="21" t="n">
        <f aca="false">IF(DT138="",0,DS138)</f>
        <v>0</v>
      </c>
    </row>
    <row r="139" customFormat="false" ht="15" hidden="false" customHeight="false" outlineLevel="0" collapsed="false">
      <c r="DS139" s="21" t="n">
        <f aca="false">IF(OR($A139="",LOWER(TRIM($A139))="grand total",TRIM($A139)="(blank)"),0,IFERROR(INDEX('OCTMS Risk Map'!$C:$C,MATCH($A139,'OCTMS Risk Map'!$A:$A,0)),IF($B$2="H",3,IF($B$2="M",2,1))))</f>
        <v>0</v>
      </c>
      <c r="DT139" s="21" t="str">
        <f aca="false">IF(OR($A139="",LOWER(TRIM($A139))="grand total",TRIM($A139)="(blank)"),"",1)</f>
        <v/>
      </c>
      <c r="DU139" s="21" t="n">
        <f aca="false">IF(DT139="",0,DS139)</f>
        <v>0</v>
      </c>
    </row>
    <row r="140" customFormat="false" ht="15" hidden="false" customHeight="false" outlineLevel="0" collapsed="false">
      <c r="DS140" s="21" t="n">
        <f aca="false">IF(OR($A140="",LOWER(TRIM($A140))="grand total",TRIM($A140)="(blank)"),0,IFERROR(INDEX('OCTMS Risk Map'!$C:$C,MATCH($A140,'OCTMS Risk Map'!$A:$A,0)),IF($B$2="H",3,IF($B$2="M",2,1))))</f>
        <v>0</v>
      </c>
      <c r="DT140" s="21" t="str">
        <f aca="false">IF(OR($A140="",LOWER(TRIM($A140))="grand total",TRIM($A140)="(blank)"),"",1)</f>
        <v/>
      </c>
      <c r="DU140" s="21" t="n">
        <f aca="false">IF(DT140="",0,DS140)</f>
        <v>0</v>
      </c>
    </row>
    <row r="141" customFormat="false" ht="15" hidden="false" customHeight="false" outlineLevel="0" collapsed="false">
      <c r="DS141" s="21" t="n">
        <f aca="false">IF(OR($A141="",LOWER(TRIM($A141))="grand total",TRIM($A141)="(blank)"),0,IFERROR(INDEX('OCTMS Risk Map'!$C:$C,MATCH($A141,'OCTMS Risk Map'!$A:$A,0)),IF($B$2="H",3,IF($B$2="M",2,1))))</f>
        <v>0</v>
      </c>
      <c r="DT141" s="21" t="str">
        <f aca="false">IF(OR($A141="",LOWER(TRIM($A141))="grand total",TRIM($A141)="(blank)"),"",1)</f>
        <v/>
      </c>
      <c r="DU141" s="21" t="n">
        <f aca="false">IF(DT141="",0,DS141)</f>
        <v>0</v>
      </c>
    </row>
    <row r="142" customFormat="false" ht="15" hidden="false" customHeight="false" outlineLevel="0" collapsed="false">
      <c r="DS142" s="21" t="n">
        <f aca="false">IF(OR($A142="",LOWER(TRIM($A142))="grand total",TRIM($A142)="(blank)"),0,IFERROR(INDEX('OCTMS Risk Map'!$C:$C,MATCH($A142,'OCTMS Risk Map'!$A:$A,0)),IF($B$2="H",3,IF($B$2="M",2,1))))</f>
        <v>0</v>
      </c>
      <c r="DT142" s="21" t="str">
        <f aca="false">IF(OR($A142="",LOWER(TRIM($A142))="grand total",TRIM($A142)="(blank)"),"",1)</f>
        <v/>
      </c>
      <c r="DU142" s="21" t="n">
        <f aca="false">IF(DT142="",0,DS142)</f>
        <v>0</v>
      </c>
    </row>
    <row r="143" customFormat="false" ht="15" hidden="false" customHeight="false" outlineLevel="0" collapsed="false">
      <c r="DS143" s="21" t="n">
        <f aca="false">IF(OR($A143="",LOWER(TRIM($A143))="grand total",TRIM($A143)="(blank)"),0,IFERROR(INDEX('OCTMS Risk Map'!$C:$C,MATCH($A143,'OCTMS Risk Map'!$A:$A,0)),IF($B$2="H",3,IF($B$2="M",2,1))))</f>
        <v>0</v>
      </c>
      <c r="DT143" s="21" t="str">
        <f aca="false">IF(OR($A143="",LOWER(TRIM($A143))="grand total",TRIM($A143)="(blank)"),"",1)</f>
        <v/>
      </c>
      <c r="DU143" s="21" t="n">
        <f aca="false">IF(DT143="",0,DS143)</f>
        <v>0</v>
      </c>
    </row>
    <row r="144" customFormat="false" ht="15" hidden="false" customHeight="false" outlineLevel="0" collapsed="false">
      <c r="DS144" s="21" t="n">
        <f aca="false">IF(OR($A144="",LOWER(TRIM($A144))="grand total",TRIM($A144)="(blank)"),0,IFERROR(INDEX('OCTMS Risk Map'!$C:$C,MATCH($A144,'OCTMS Risk Map'!$A:$A,0)),IF($B$2="H",3,IF($B$2="M",2,1))))</f>
        <v>0</v>
      </c>
      <c r="DT144" s="21" t="str">
        <f aca="false">IF(OR($A144="",LOWER(TRIM($A144))="grand total",TRIM($A144)="(blank)"),"",1)</f>
        <v/>
      </c>
      <c r="DU144" s="21" t="n">
        <f aca="false">IF(DT144="",0,DS144)</f>
        <v>0</v>
      </c>
    </row>
    <row r="145" customFormat="false" ht="15" hidden="false" customHeight="false" outlineLevel="0" collapsed="false">
      <c r="DS145" s="21" t="n">
        <f aca="false">IF(OR($A145="",LOWER(TRIM($A145))="grand total",TRIM($A145)="(blank)"),0,IFERROR(INDEX('OCTMS Risk Map'!$C:$C,MATCH($A145,'OCTMS Risk Map'!$A:$A,0)),IF($B$2="H",3,IF($B$2="M",2,1))))</f>
        <v>0</v>
      </c>
      <c r="DT145" s="21" t="str">
        <f aca="false">IF(OR($A145="",LOWER(TRIM($A145))="grand total",TRIM($A145)="(blank)"),"",1)</f>
        <v/>
      </c>
      <c r="DU145" s="21" t="n">
        <f aca="false">IF(DT145="",0,DS145)</f>
        <v>0</v>
      </c>
    </row>
    <row r="146" customFormat="false" ht="15" hidden="false" customHeight="false" outlineLevel="0" collapsed="false">
      <c r="DS146" s="21" t="n">
        <f aca="false">IF(OR($A146="",LOWER(TRIM($A146))="grand total",TRIM($A146)="(blank)"),0,IFERROR(INDEX('OCTMS Risk Map'!$C:$C,MATCH($A146,'OCTMS Risk Map'!$A:$A,0)),IF($B$2="H",3,IF($B$2="M",2,1))))</f>
        <v>0</v>
      </c>
      <c r="DT146" s="21" t="str">
        <f aca="false">IF(OR($A146="",LOWER(TRIM($A146))="grand total",TRIM($A146)="(blank)"),"",1)</f>
        <v/>
      </c>
      <c r="DU146" s="21" t="n">
        <f aca="false">IF(DT146="",0,DS146)</f>
        <v>0</v>
      </c>
    </row>
    <row r="147" customFormat="false" ht="15" hidden="false" customHeight="false" outlineLevel="0" collapsed="false">
      <c r="DS147" s="21" t="n">
        <f aca="false">IF(OR($A147="",LOWER(TRIM($A147))="grand total",TRIM($A147)="(blank)"),0,IFERROR(INDEX('OCTMS Risk Map'!$C:$C,MATCH($A147,'OCTMS Risk Map'!$A:$A,0)),IF($B$2="H",3,IF($B$2="M",2,1))))</f>
        <v>0</v>
      </c>
      <c r="DT147" s="21" t="str">
        <f aca="false">IF(OR($A147="",LOWER(TRIM($A147))="grand total",TRIM($A147)="(blank)"),"",1)</f>
        <v/>
      </c>
      <c r="DU147" s="21" t="n">
        <f aca="false">IF(DT147="",0,DS147)</f>
        <v>0</v>
      </c>
    </row>
    <row r="148" customFormat="false" ht="15" hidden="false" customHeight="false" outlineLevel="0" collapsed="false">
      <c r="DS148" s="21" t="n">
        <f aca="false">IF(OR($A148="",LOWER(TRIM($A148))="grand total",TRIM($A148)="(blank)"),0,IFERROR(INDEX('OCTMS Risk Map'!$C:$C,MATCH($A148,'OCTMS Risk Map'!$A:$A,0)),IF($B$2="H",3,IF($B$2="M",2,1))))</f>
        <v>0</v>
      </c>
      <c r="DT148" s="21" t="str">
        <f aca="false">IF(OR($A148="",LOWER(TRIM($A148))="grand total",TRIM($A148)="(blank)"),"",1)</f>
        <v/>
      </c>
      <c r="DU148" s="21" t="n">
        <f aca="false">IF(DT148="",0,DS148)</f>
        <v>0</v>
      </c>
    </row>
    <row r="149" customFormat="false" ht="15" hidden="false" customHeight="false" outlineLevel="0" collapsed="false">
      <c r="DS149" s="21" t="n">
        <f aca="false">IF(OR($A149="",LOWER(TRIM($A149))="grand total",TRIM($A149)="(blank)"),0,IFERROR(INDEX('OCTMS Risk Map'!$C:$C,MATCH($A149,'OCTMS Risk Map'!$A:$A,0)),IF($B$2="H",3,IF($B$2="M",2,1))))</f>
        <v>0</v>
      </c>
      <c r="DT149" s="21" t="str">
        <f aca="false">IF(OR($A149="",LOWER(TRIM($A149))="grand total",TRIM($A149)="(blank)"),"",1)</f>
        <v/>
      </c>
      <c r="DU149" s="21" t="n">
        <f aca="false">IF(DT149="",0,DS149)</f>
        <v>0</v>
      </c>
    </row>
    <row r="150" customFormat="false" ht="15" hidden="false" customHeight="false" outlineLevel="0" collapsed="false">
      <c r="DS150" s="21" t="n">
        <f aca="false">IF(OR($A150="",LOWER(TRIM($A150))="grand total",TRIM($A150)="(blank)"),0,IFERROR(INDEX('OCTMS Risk Map'!$C:$C,MATCH($A150,'OCTMS Risk Map'!$A:$A,0)),IF($B$2="H",3,IF($B$2="M",2,1))))</f>
        <v>0</v>
      </c>
      <c r="DT150" s="21" t="str">
        <f aca="false">IF(OR($A150="",LOWER(TRIM($A150))="grand total",TRIM($A150)="(blank)"),"",1)</f>
        <v/>
      </c>
      <c r="DU150" s="21" t="n">
        <f aca="false">IF(DT150="",0,DS150)</f>
        <v>0</v>
      </c>
    </row>
    <row r="151" customFormat="false" ht="15" hidden="false" customHeight="false" outlineLevel="0" collapsed="false">
      <c r="DS151" s="21" t="n">
        <f aca="false">IF(OR($A151="",LOWER(TRIM($A151))="grand total",TRIM($A151)="(blank)"),0,IFERROR(INDEX('OCTMS Risk Map'!$C:$C,MATCH($A151,'OCTMS Risk Map'!$A:$A,0)),IF($B$2="H",3,IF($B$2="M",2,1))))</f>
        <v>0</v>
      </c>
      <c r="DT151" s="21" t="str">
        <f aca="false">IF(OR($A151="",LOWER(TRIM($A151))="grand total",TRIM($A151)="(blank)"),"",1)</f>
        <v/>
      </c>
      <c r="DU151" s="21" t="n">
        <f aca="false">IF(DT151="",0,DS151)</f>
        <v>0</v>
      </c>
    </row>
    <row r="152" customFormat="false" ht="15" hidden="false" customHeight="false" outlineLevel="0" collapsed="false">
      <c r="DS152" s="21" t="n">
        <f aca="false">IF(OR($A152="",LOWER(TRIM($A152))="grand total",TRIM($A152)="(blank)"),0,IFERROR(INDEX('OCTMS Risk Map'!$C:$C,MATCH($A152,'OCTMS Risk Map'!$A:$A,0)),IF($B$2="H",3,IF($B$2="M",2,1))))</f>
        <v>0</v>
      </c>
      <c r="DT152" s="21" t="str">
        <f aca="false">IF(OR($A152="",LOWER(TRIM($A152))="grand total",TRIM($A152)="(blank)"),"",1)</f>
        <v/>
      </c>
      <c r="DU152" s="21" t="n">
        <f aca="false">IF(DT152="",0,DS152)</f>
        <v>0</v>
      </c>
    </row>
    <row r="153" customFormat="false" ht="15" hidden="false" customHeight="false" outlineLevel="0" collapsed="false">
      <c r="DS153" s="21" t="n">
        <f aca="false">IF(OR($A153="",LOWER(TRIM($A153))="grand total",TRIM($A153)="(blank)"),0,IFERROR(INDEX('OCTMS Risk Map'!$C:$C,MATCH($A153,'OCTMS Risk Map'!$A:$A,0)),IF($B$2="H",3,IF($B$2="M",2,1))))</f>
        <v>0</v>
      </c>
      <c r="DT153" s="21" t="str">
        <f aca="false">IF(OR($A153="",LOWER(TRIM($A153))="grand total",TRIM($A153)="(blank)"),"",1)</f>
        <v/>
      </c>
      <c r="DU153" s="21" t="n">
        <f aca="false">IF(DT153="",0,DS153)</f>
        <v>0</v>
      </c>
    </row>
    <row r="155" customFormat="false" ht="15" hidden="false" customHeight="false" outlineLevel="0" collapsed="false">
      <c r="A155" s="8" t="s">
        <v>279</v>
      </c>
      <c r="B155" s="21" t="str">
        <f aca="false">IF(OR(B$3="",LOWER(TRIM(B$3))="grand total",TRIM(B$3)="(blank)"),"",IF(COUNTIF(B4:B153,"&gt;0")&gt;0,1,0))</f>
        <v/>
      </c>
      <c r="C155" s="21" t="str">
        <f aca="false">IF(OR(C$3="",LOWER(TRIM(C$3))="grand total",TRIM(C$3)="(blank)"),"",IF(COUNTIF(C4:C153,"&gt;0")&gt;0,1,0))</f>
        <v/>
      </c>
      <c r="D155" s="21" t="str">
        <f aca="false">IF(OR(D$3="",LOWER(TRIM(D$3))="grand total",TRIM(D$3)="(blank)"),"",IF(COUNTIF(D4:D153,"&gt;0")&gt;0,1,0))</f>
        <v/>
      </c>
      <c r="E155" s="21" t="str">
        <f aca="false">IF(OR(E$3="",LOWER(TRIM(E$3))="grand total",TRIM(E$3)="(blank)"),"",IF(COUNTIF(E4:E153,"&gt;0")&gt;0,1,0))</f>
        <v/>
      </c>
      <c r="F155" s="21" t="str">
        <f aca="false">IF(OR(F$3="",LOWER(TRIM(F$3))="grand total",TRIM(F$3)="(blank)"),"",IF(COUNTIF(F4:F153,"&gt;0")&gt;0,1,0))</f>
        <v/>
      </c>
      <c r="G155" s="21" t="str">
        <f aca="false">IF(OR(G$3="",LOWER(TRIM(G$3))="grand total",TRIM(G$3)="(blank)"),"",IF(COUNTIF(G4:G153,"&gt;0")&gt;0,1,0))</f>
        <v/>
      </c>
      <c r="H155" s="21" t="str">
        <f aca="false">IF(OR(H$3="",LOWER(TRIM(H$3))="grand total",TRIM(H$3)="(blank)"),"",IF(COUNTIF(H4:H153,"&gt;0")&gt;0,1,0))</f>
        <v/>
      </c>
      <c r="I155" s="21" t="str">
        <f aca="false">IF(OR(I$3="",LOWER(TRIM(I$3))="grand total",TRIM(I$3)="(blank)"),"",IF(COUNTIF(I4:I153,"&gt;0")&gt;0,1,0))</f>
        <v/>
      </c>
      <c r="J155" s="21" t="str">
        <f aca="false">IF(OR(J$3="",LOWER(TRIM(J$3))="grand total",TRIM(J$3)="(blank)"),"",IF(COUNTIF(J4:J153,"&gt;0")&gt;0,1,0))</f>
        <v/>
      </c>
      <c r="K155" s="21" t="str">
        <f aca="false">IF(OR(K$3="",LOWER(TRIM(K$3))="grand total",TRIM(K$3)="(blank)"),"",IF(COUNTIF(K4:K153,"&gt;0")&gt;0,1,0))</f>
        <v/>
      </c>
      <c r="L155" s="21" t="str">
        <f aca="false">IF(OR(L$3="",LOWER(TRIM(L$3))="grand total",TRIM(L$3)="(blank)"),"",IF(COUNTIF(L4:L153,"&gt;0")&gt;0,1,0))</f>
        <v/>
      </c>
      <c r="M155" s="21" t="str">
        <f aca="false">IF(OR(M$3="",LOWER(TRIM(M$3))="grand total",TRIM(M$3)="(blank)"),"",IF(COUNTIF(M4:M153,"&gt;0")&gt;0,1,0))</f>
        <v/>
      </c>
      <c r="N155" s="21" t="str">
        <f aca="false">IF(OR(N$3="",LOWER(TRIM(N$3))="grand total",TRIM(N$3)="(blank)"),"",IF(COUNTIF(N4:N153,"&gt;0")&gt;0,1,0))</f>
        <v/>
      </c>
      <c r="O155" s="21" t="str">
        <f aca="false">IF(OR(O$3="",LOWER(TRIM(O$3))="grand total",TRIM(O$3)="(blank)"),"",IF(COUNTIF(O4:O153,"&gt;0")&gt;0,1,0))</f>
        <v/>
      </c>
      <c r="P155" s="21" t="str">
        <f aca="false">IF(OR(P$3="",LOWER(TRIM(P$3))="grand total",TRIM(P$3)="(blank)"),"",IF(COUNTIF(P4:P153,"&gt;0")&gt;0,1,0))</f>
        <v/>
      </c>
      <c r="Q155" s="21" t="str">
        <f aca="false">IF(OR(Q$3="",LOWER(TRIM(Q$3))="grand total",TRIM(Q$3)="(blank)"),"",IF(COUNTIF(Q4:Q153,"&gt;0")&gt;0,1,0))</f>
        <v/>
      </c>
      <c r="R155" s="21" t="str">
        <f aca="false">IF(OR(R$3="",LOWER(TRIM(R$3))="grand total",TRIM(R$3)="(blank)"),"",IF(COUNTIF(R4:R153,"&gt;0")&gt;0,1,0))</f>
        <v/>
      </c>
      <c r="S155" s="21" t="str">
        <f aca="false">IF(OR(S$3="",LOWER(TRIM(S$3))="grand total",TRIM(S$3)="(blank)"),"",IF(COUNTIF(S4:S153,"&gt;0")&gt;0,1,0))</f>
        <v/>
      </c>
      <c r="T155" s="21" t="str">
        <f aca="false">IF(OR(T$3="",LOWER(TRIM(T$3))="grand total",TRIM(T$3)="(blank)"),"",IF(COUNTIF(T4:T153,"&gt;0")&gt;0,1,0))</f>
        <v/>
      </c>
      <c r="U155" s="21" t="str">
        <f aca="false">IF(OR(U$3="",LOWER(TRIM(U$3))="grand total",TRIM(U$3)="(blank)"),"",IF(COUNTIF(U4:U153,"&gt;0")&gt;0,1,0))</f>
        <v/>
      </c>
      <c r="V155" s="21" t="str">
        <f aca="false">IF(OR(V$3="",LOWER(TRIM(V$3))="grand total",TRIM(V$3)="(blank)"),"",IF(COUNTIF(V4:V153,"&gt;0")&gt;0,1,0))</f>
        <v/>
      </c>
      <c r="W155" s="21" t="str">
        <f aca="false">IF(OR(W$3="",LOWER(TRIM(W$3))="grand total",TRIM(W$3)="(blank)"),"",IF(COUNTIF(W4:W153,"&gt;0")&gt;0,1,0))</f>
        <v/>
      </c>
      <c r="X155" s="21" t="str">
        <f aca="false">IF(OR(X$3="",LOWER(TRIM(X$3))="grand total",TRIM(X$3)="(blank)"),"",IF(COUNTIF(X4:X153,"&gt;0")&gt;0,1,0))</f>
        <v/>
      </c>
      <c r="Y155" s="21" t="str">
        <f aca="false">IF(OR(Y$3="",LOWER(TRIM(Y$3))="grand total",TRIM(Y$3)="(blank)"),"",IF(COUNTIF(Y4:Y153,"&gt;0")&gt;0,1,0))</f>
        <v/>
      </c>
      <c r="Z155" s="21" t="str">
        <f aca="false">IF(OR(Z$3="",LOWER(TRIM(Z$3))="grand total",TRIM(Z$3)="(blank)"),"",IF(COUNTIF(Z4:Z153,"&gt;0")&gt;0,1,0))</f>
        <v/>
      </c>
      <c r="AA155" s="21" t="str">
        <f aca="false">IF(OR(AA$3="",LOWER(TRIM(AA$3))="grand total",TRIM(AA$3)="(blank)"),"",IF(COUNTIF(AA4:AA153,"&gt;0")&gt;0,1,0))</f>
        <v/>
      </c>
      <c r="AB155" s="21" t="str">
        <f aca="false">IF(OR(AB$3="",LOWER(TRIM(AB$3))="grand total",TRIM(AB$3)="(blank)"),"",IF(COUNTIF(AB4:AB153,"&gt;0")&gt;0,1,0))</f>
        <v/>
      </c>
      <c r="AC155" s="21" t="str">
        <f aca="false">IF(OR(AC$3="",LOWER(TRIM(AC$3))="grand total",TRIM(AC$3)="(blank)"),"",IF(COUNTIF(AC4:AC153,"&gt;0")&gt;0,1,0))</f>
        <v/>
      </c>
      <c r="AD155" s="21" t="str">
        <f aca="false">IF(OR(AD$3="",LOWER(TRIM(AD$3))="grand total",TRIM(AD$3)="(blank)"),"",IF(COUNTIF(AD4:AD153,"&gt;0")&gt;0,1,0))</f>
        <v/>
      </c>
      <c r="AE155" s="21" t="str">
        <f aca="false">IF(OR(AE$3="",LOWER(TRIM(AE$3))="grand total",TRIM(AE$3)="(blank)"),"",IF(COUNTIF(AE4:AE153,"&gt;0")&gt;0,1,0))</f>
        <v/>
      </c>
      <c r="AF155" s="21" t="str">
        <f aca="false">IF(OR(AF$3="",LOWER(TRIM(AF$3))="grand total",TRIM(AF$3)="(blank)"),"",IF(COUNTIF(AF4:AF153,"&gt;0")&gt;0,1,0))</f>
        <v/>
      </c>
      <c r="AG155" s="21" t="str">
        <f aca="false">IF(OR(AG$3="",LOWER(TRIM(AG$3))="grand total",TRIM(AG$3)="(blank)"),"",IF(COUNTIF(AG4:AG153,"&gt;0")&gt;0,1,0))</f>
        <v/>
      </c>
      <c r="AH155" s="21" t="str">
        <f aca="false">IF(OR(AH$3="",LOWER(TRIM(AH$3))="grand total",TRIM(AH$3)="(blank)"),"",IF(COUNTIF(AH4:AH153,"&gt;0")&gt;0,1,0))</f>
        <v/>
      </c>
      <c r="AI155" s="21" t="str">
        <f aca="false">IF(OR(AI$3="",LOWER(TRIM(AI$3))="grand total",TRIM(AI$3)="(blank)"),"",IF(COUNTIF(AI4:AI153,"&gt;0")&gt;0,1,0))</f>
        <v/>
      </c>
      <c r="AJ155" s="21" t="str">
        <f aca="false">IF(OR(AJ$3="",LOWER(TRIM(AJ$3))="grand total",TRIM(AJ$3)="(blank)"),"",IF(COUNTIF(AJ4:AJ153,"&gt;0")&gt;0,1,0))</f>
        <v/>
      </c>
      <c r="AK155" s="21" t="str">
        <f aca="false">IF(OR(AK$3="",LOWER(TRIM(AK$3))="grand total",TRIM(AK$3)="(blank)"),"",IF(COUNTIF(AK4:AK153,"&gt;0")&gt;0,1,0))</f>
        <v/>
      </c>
      <c r="AL155" s="21" t="str">
        <f aca="false">IF(OR(AL$3="",LOWER(TRIM(AL$3))="grand total",TRIM(AL$3)="(blank)"),"",IF(COUNTIF(AL4:AL153,"&gt;0")&gt;0,1,0))</f>
        <v/>
      </c>
      <c r="AM155" s="21" t="str">
        <f aca="false">IF(OR(AM$3="",LOWER(TRIM(AM$3))="grand total",TRIM(AM$3)="(blank)"),"",IF(COUNTIF(AM4:AM153,"&gt;0")&gt;0,1,0))</f>
        <v/>
      </c>
      <c r="AN155" s="21" t="str">
        <f aca="false">IF(OR(AN$3="",LOWER(TRIM(AN$3))="grand total",TRIM(AN$3)="(blank)"),"",IF(COUNTIF(AN4:AN153,"&gt;0")&gt;0,1,0))</f>
        <v/>
      </c>
      <c r="AO155" s="21" t="str">
        <f aca="false">IF(OR(AO$3="",LOWER(TRIM(AO$3))="grand total",TRIM(AO$3)="(blank)"),"",IF(COUNTIF(AO4:AO153,"&gt;0")&gt;0,1,0))</f>
        <v/>
      </c>
      <c r="AP155" s="21" t="str">
        <f aca="false">IF(OR(AP$3="",LOWER(TRIM(AP$3))="grand total",TRIM(AP$3)="(blank)"),"",IF(COUNTIF(AP4:AP153,"&gt;0")&gt;0,1,0))</f>
        <v/>
      </c>
      <c r="AQ155" s="21" t="str">
        <f aca="false">IF(OR(AQ$3="",LOWER(TRIM(AQ$3))="grand total",TRIM(AQ$3)="(blank)"),"",IF(COUNTIF(AQ4:AQ153,"&gt;0")&gt;0,1,0))</f>
        <v/>
      </c>
      <c r="AR155" s="21" t="str">
        <f aca="false">IF(OR(AR$3="",LOWER(TRIM(AR$3))="grand total",TRIM(AR$3)="(blank)"),"",IF(COUNTIF(AR4:AR153,"&gt;0")&gt;0,1,0))</f>
        <v/>
      </c>
      <c r="AS155" s="21" t="str">
        <f aca="false">IF(OR(AS$3="",LOWER(TRIM(AS$3))="grand total",TRIM(AS$3)="(blank)"),"",IF(COUNTIF(AS4:AS153,"&gt;0")&gt;0,1,0))</f>
        <v/>
      </c>
      <c r="AT155" s="21" t="str">
        <f aca="false">IF(OR(AT$3="",LOWER(TRIM(AT$3))="grand total",TRIM(AT$3)="(blank)"),"",IF(COUNTIF(AT4:AT153,"&gt;0")&gt;0,1,0))</f>
        <v/>
      </c>
      <c r="AU155" s="21" t="str">
        <f aca="false">IF(OR(AU$3="",LOWER(TRIM(AU$3))="grand total",TRIM(AU$3)="(blank)"),"",IF(COUNTIF(AU4:AU153,"&gt;0")&gt;0,1,0))</f>
        <v/>
      </c>
      <c r="AV155" s="21" t="str">
        <f aca="false">IF(OR(AV$3="",LOWER(TRIM(AV$3))="grand total",TRIM(AV$3)="(blank)"),"",IF(COUNTIF(AV4:AV153,"&gt;0")&gt;0,1,0))</f>
        <v/>
      </c>
      <c r="AW155" s="21" t="str">
        <f aca="false">IF(OR(AW$3="",LOWER(TRIM(AW$3))="grand total",TRIM(AW$3)="(blank)"),"",IF(COUNTIF(AW4:AW153,"&gt;0")&gt;0,1,0))</f>
        <v/>
      </c>
      <c r="AX155" s="21" t="str">
        <f aca="false">IF(OR(AX$3="",LOWER(TRIM(AX$3))="grand total",TRIM(AX$3)="(blank)"),"",IF(COUNTIF(AX4:AX153,"&gt;0")&gt;0,1,0))</f>
        <v/>
      </c>
      <c r="AY155" s="21" t="str">
        <f aca="false">IF(OR(AY$3="",LOWER(TRIM(AY$3))="grand total",TRIM(AY$3)="(blank)"),"",IF(COUNTIF(AY4:AY153,"&gt;0")&gt;0,1,0))</f>
        <v/>
      </c>
      <c r="AZ155" s="21" t="str">
        <f aca="false">IF(OR(AZ$3="",LOWER(TRIM(AZ$3))="grand total",TRIM(AZ$3)="(blank)"),"",IF(COUNTIF(AZ4:AZ153,"&gt;0")&gt;0,1,0))</f>
        <v/>
      </c>
      <c r="BA155" s="21" t="str">
        <f aca="false">IF(OR(BA$3="",LOWER(TRIM(BA$3))="grand total",TRIM(BA$3)="(blank)"),"",IF(COUNTIF(BA4:BA153,"&gt;0")&gt;0,1,0))</f>
        <v/>
      </c>
      <c r="BB155" s="21" t="str">
        <f aca="false">IF(OR(BB$3="",LOWER(TRIM(BB$3))="grand total",TRIM(BB$3)="(blank)"),"",IF(COUNTIF(BB4:BB153,"&gt;0")&gt;0,1,0))</f>
        <v/>
      </c>
      <c r="BC155" s="21" t="str">
        <f aca="false">IF(OR(BC$3="",LOWER(TRIM(BC$3))="grand total",TRIM(BC$3)="(blank)"),"",IF(COUNTIF(BC4:BC153,"&gt;0")&gt;0,1,0))</f>
        <v/>
      </c>
      <c r="BD155" s="21" t="str">
        <f aca="false">IF(OR(BD$3="",LOWER(TRIM(BD$3))="grand total",TRIM(BD$3)="(blank)"),"",IF(COUNTIF(BD4:BD153,"&gt;0")&gt;0,1,0))</f>
        <v/>
      </c>
      <c r="BE155" s="21" t="str">
        <f aca="false">IF(OR(BE$3="",LOWER(TRIM(BE$3))="grand total",TRIM(BE$3)="(blank)"),"",IF(COUNTIF(BE4:BE153,"&gt;0")&gt;0,1,0))</f>
        <v/>
      </c>
      <c r="BF155" s="21" t="str">
        <f aca="false">IF(OR(BF$3="",LOWER(TRIM(BF$3))="grand total",TRIM(BF$3)="(blank)"),"",IF(COUNTIF(BF4:BF153,"&gt;0")&gt;0,1,0))</f>
        <v/>
      </c>
      <c r="BG155" s="21" t="str">
        <f aca="false">IF(OR(BG$3="",LOWER(TRIM(BG$3))="grand total",TRIM(BG$3)="(blank)"),"",IF(COUNTIF(BG4:BG153,"&gt;0")&gt;0,1,0))</f>
        <v/>
      </c>
      <c r="BH155" s="21" t="str">
        <f aca="false">IF(OR(BH$3="",LOWER(TRIM(BH$3))="grand total",TRIM(BH$3)="(blank)"),"",IF(COUNTIF(BH4:BH153,"&gt;0")&gt;0,1,0))</f>
        <v/>
      </c>
      <c r="BI155" s="21" t="str">
        <f aca="false">IF(OR(BI$3="",LOWER(TRIM(BI$3))="grand total",TRIM(BI$3)="(blank)"),"",IF(COUNTIF(BI4:BI153,"&gt;0")&gt;0,1,0))</f>
        <v/>
      </c>
      <c r="BJ155" s="21" t="str">
        <f aca="false">IF(OR(BJ$3="",LOWER(TRIM(BJ$3))="grand total",TRIM(BJ$3)="(blank)"),"",IF(COUNTIF(BJ4:BJ153,"&gt;0")&gt;0,1,0))</f>
        <v/>
      </c>
      <c r="BK155" s="21" t="str">
        <f aca="false">IF(OR(BK$3="",LOWER(TRIM(BK$3))="grand total",TRIM(BK$3)="(blank)"),"",IF(COUNTIF(BK4:BK153,"&gt;0")&gt;0,1,0))</f>
        <v/>
      </c>
      <c r="BL155" s="21" t="str">
        <f aca="false">IF(OR(BL$3="",LOWER(TRIM(BL$3))="grand total",TRIM(BL$3)="(blank)"),"",IF(COUNTIF(BL4:BL153,"&gt;0")&gt;0,1,0))</f>
        <v/>
      </c>
      <c r="BM155" s="21" t="str">
        <f aca="false">IF(OR(BM$3="",LOWER(TRIM(BM$3))="grand total",TRIM(BM$3)="(blank)"),"",IF(COUNTIF(BM4:BM153,"&gt;0")&gt;0,1,0))</f>
        <v/>
      </c>
      <c r="BN155" s="21" t="str">
        <f aca="false">IF(OR(BN$3="",LOWER(TRIM(BN$3))="grand total",TRIM(BN$3)="(blank)"),"",IF(COUNTIF(BN4:BN153,"&gt;0")&gt;0,1,0))</f>
        <v/>
      </c>
      <c r="BO155" s="21" t="str">
        <f aca="false">IF(OR(BO$3="",LOWER(TRIM(BO$3))="grand total",TRIM(BO$3)="(blank)"),"",IF(COUNTIF(BO4:BO153,"&gt;0")&gt;0,1,0))</f>
        <v/>
      </c>
      <c r="BP155" s="21" t="str">
        <f aca="false">IF(OR(BP$3="",LOWER(TRIM(BP$3))="grand total",TRIM(BP$3)="(blank)"),"",IF(COUNTIF(BP4:BP153,"&gt;0")&gt;0,1,0))</f>
        <v/>
      </c>
      <c r="BQ155" s="21" t="str">
        <f aca="false">IF(OR(BQ$3="",LOWER(TRIM(BQ$3))="grand total",TRIM(BQ$3)="(blank)"),"",IF(COUNTIF(BQ4:BQ153,"&gt;0")&gt;0,1,0))</f>
        <v/>
      </c>
      <c r="BR155" s="21" t="str">
        <f aca="false">IF(OR(BR$3="",LOWER(TRIM(BR$3))="grand total",TRIM(BR$3)="(blank)"),"",IF(COUNTIF(BR4:BR153,"&gt;0")&gt;0,1,0))</f>
        <v/>
      </c>
      <c r="BS155" s="21" t="str">
        <f aca="false">IF(OR(BS$3="",LOWER(TRIM(BS$3))="grand total",TRIM(BS$3)="(blank)"),"",IF(COUNTIF(BS4:BS153,"&gt;0")&gt;0,1,0))</f>
        <v/>
      </c>
      <c r="BT155" s="21" t="str">
        <f aca="false">IF(OR(BT$3="",LOWER(TRIM(BT$3))="grand total",TRIM(BT$3)="(blank)"),"",IF(COUNTIF(BT4:BT153,"&gt;0")&gt;0,1,0))</f>
        <v/>
      </c>
      <c r="BU155" s="21" t="str">
        <f aca="false">IF(OR(BU$3="",LOWER(TRIM(BU$3))="grand total",TRIM(BU$3)="(blank)"),"",IF(COUNTIF(BU4:BU153,"&gt;0")&gt;0,1,0))</f>
        <v/>
      </c>
      <c r="BV155" s="21" t="str">
        <f aca="false">IF(OR(BV$3="",LOWER(TRIM(BV$3))="grand total",TRIM(BV$3)="(blank)"),"",IF(COUNTIF(BV4:BV153,"&gt;0")&gt;0,1,0))</f>
        <v/>
      </c>
      <c r="BW155" s="21" t="str">
        <f aca="false">IF(OR(BW$3="",LOWER(TRIM(BW$3))="grand total",TRIM(BW$3)="(blank)"),"",IF(COUNTIF(BW4:BW153,"&gt;0")&gt;0,1,0))</f>
        <v/>
      </c>
      <c r="BX155" s="21" t="str">
        <f aca="false">IF(OR(BX$3="",LOWER(TRIM(BX$3))="grand total",TRIM(BX$3)="(blank)"),"",IF(COUNTIF(BX4:BX153,"&gt;0")&gt;0,1,0))</f>
        <v/>
      </c>
      <c r="BY155" s="21" t="str">
        <f aca="false">IF(OR(BY$3="",LOWER(TRIM(BY$3))="grand total",TRIM(BY$3)="(blank)"),"",IF(COUNTIF(BY4:BY153,"&gt;0")&gt;0,1,0))</f>
        <v/>
      </c>
      <c r="BZ155" s="21" t="str">
        <f aca="false">IF(OR(BZ$3="",LOWER(TRIM(BZ$3))="grand total",TRIM(BZ$3)="(blank)"),"",IF(COUNTIF(BZ4:BZ153,"&gt;0")&gt;0,1,0))</f>
        <v/>
      </c>
      <c r="CA155" s="21" t="str">
        <f aca="false">IF(OR(CA$3="",LOWER(TRIM(CA$3))="grand total",TRIM(CA$3)="(blank)"),"",IF(COUNTIF(CA4:CA153,"&gt;0")&gt;0,1,0))</f>
        <v/>
      </c>
      <c r="CB155" s="21" t="str">
        <f aca="false">IF(OR(CB$3="",LOWER(TRIM(CB$3))="grand total",TRIM(CB$3)="(blank)"),"",IF(COUNTIF(CB4:CB153,"&gt;0")&gt;0,1,0))</f>
        <v/>
      </c>
      <c r="CC155" s="21" t="str">
        <f aca="false">IF(OR(CC$3="",LOWER(TRIM(CC$3))="grand total",TRIM(CC$3)="(blank)"),"",IF(COUNTIF(CC4:CC153,"&gt;0")&gt;0,1,0))</f>
        <v/>
      </c>
      <c r="CD155" s="21" t="str">
        <f aca="false">IF(OR(CD$3="",LOWER(TRIM(CD$3))="grand total",TRIM(CD$3)="(blank)"),"",IF(COUNTIF(CD4:CD153,"&gt;0")&gt;0,1,0))</f>
        <v/>
      </c>
      <c r="CE155" s="21" t="str">
        <f aca="false">IF(OR(CE$3="",LOWER(TRIM(CE$3))="grand total",TRIM(CE$3)="(blank)"),"",IF(COUNTIF(CE4:CE153,"&gt;0")&gt;0,1,0))</f>
        <v/>
      </c>
      <c r="CF155" s="21" t="str">
        <f aca="false">IF(OR(CF$3="",LOWER(TRIM(CF$3))="grand total",TRIM(CF$3)="(blank)"),"",IF(COUNTIF(CF4:CF153,"&gt;0")&gt;0,1,0))</f>
        <v/>
      </c>
      <c r="CG155" s="21" t="str">
        <f aca="false">IF(OR(CG$3="",LOWER(TRIM(CG$3))="grand total",TRIM(CG$3)="(blank)"),"",IF(COUNTIF(CG4:CG153,"&gt;0")&gt;0,1,0))</f>
        <v/>
      </c>
      <c r="CH155" s="21" t="str">
        <f aca="false">IF(OR(CH$3="",LOWER(TRIM(CH$3))="grand total",TRIM(CH$3)="(blank)"),"",IF(COUNTIF(CH4:CH153,"&gt;0")&gt;0,1,0))</f>
        <v/>
      </c>
      <c r="CI155" s="21" t="str">
        <f aca="false">IF(OR(CI$3="",LOWER(TRIM(CI$3))="grand total",TRIM(CI$3)="(blank)"),"",IF(COUNTIF(CI4:CI153,"&gt;0")&gt;0,1,0))</f>
        <v/>
      </c>
      <c r="CJ155" s="21" t="str">
        <f aca="false">IF(OR(CJ$3="",LOWER(TRIM(CJ$3))="grand total",TRIM(CJ$3)="(blank)"),"",IF(COUNTIF(CJ4:CJ153,"&gt;0")&gt;0,1,0))</f>
        <v/>
      </c>
      <c r="CK155" s="21" t="str">
        <f aca="false">IF(OR(CK$3="",LOWER(TRIM(CK$3))="grand total",TRIM(CK$3)="(blank)"),"",IF(COUNTIF(CK4:CK153,"&gt;0")&gt;0,1,0))</f>
        <v/>
      </c>
      <c r="CL155" s="21" t="str">
        <f aca="false">IF(OR(CL$3="",LOWER(TRIM(CL$3))="grand total",TRIM(CL$3)="(blank)"),"",IF(COUNTIF(CL4:CL153,"&gt;0")&gt;0,1,0))</f>
        <v/>
      </c>
      <c r="CM155" s="21" t="str">
        <f aca="false">IF(OR(CM$3="",LOWER(TRIM(CM$3))="grand total",TRIM(CM$3)="(blank)"),"",IF(COUNTIF(CM4:CM153,"&gt;0")&gt;0,1,0))</f>
        <v/>
      </c>
      <c r="CN155" s="21" t="str">
        <f aca="false">IF(OR(CN$3="",LOWER(TRIM(CN$3))="grand total",TRIM(CN$3)="(blank)"),"",IF(COUNTIF(CN4:CN153,"&gt;0")&gt;0,1,0))</f>
        <v/>
      </c>
      <c r="CO155" s="21" t="str">
        <f aca="false">IF(OR(CO$3="",LOWER(TRIM(CO$3))="grand total",TRIM(CO$3)="(blank)"),"",IF(COUNTIF(CO4:CO153,"&gt;0")&gt;0,1,0))</f>
        <v/>
      </c>
      <c r="CP155" s="21" t="str">
        <f aca="false">IF(OR(CP$3="",LOWER(TRIM(CP$3))="grand total",TRIM(CP$3)="(blank)"),"",IF(COUNTIF(CP4:CP153,"&gt;0")&gt;0,1,0))</f>
        <v/>
      </c>
      <c r="CQ155" s="21" t="str">
        <f aca="false">IF(OR(CQ$3="",LOWER(TRIM(CQ$3))="grand total",TRIM(CQ$3)="(blank)"),"",IF(COUNTIF(CQ4:CQ153,"&gt;0")&gt;0,1,0))</f>
        <v/>
      </c>
      <c r="CR155" s="21" t="str">
        <f aca="false">IF(OR(CR$3="",LOWER(TRIM(CR$3))="grand total",TRIM(CR$3)="(blank)"),"",IF(COUNTIF(CR4:CR153,"&gt;0")&gt;0,1,0))</f>
        <v/>
      </c>
      <c r="CS155" s="21" t="str">
        <f aca="false">IF(OR(CS$3="",LOWER(TRIM(CS$3))="grand total",TRIM(CS$3)="(blank)"),"",IF(COUNTIF(CS4:CS153,"&gt;0")&gt;0,1,0))</f>
        <v/>
      </c>
      <c r="CT155" s="21" t="str">
        <f aca="false">IF(OR(CT$3="",LOWER(TRIM(CT$3))="grand total",TRIM(CT$3)="(blank)"),"",IF(COUNTIF(CT4:CT153,"&gt;0")&gt;0,1,0))</f>
        <v/>
      </c>
      <c r="CU155" s="21" t="str">
        <f aca="false">IF(OR(CU$3="",LOWER(TRIM(CU$3))="grand total",TRIM(CU$3)="(blank)"),"",IF(COUNTIF(CU4:CU153,"&gt;0")&gt;0,1,0))</f>
        <v/>
      </c>
      <c r="CV155" s="21" t="str">
        <f aca="false">IF(OR(CV$3="",LOWER(TRIM(CV$3))="grand total",TRIM(CV$3)="(blank)"),"",IF(COUNTIF(CV4:CV153,"&gt;0")&gt;0,1,0))</f>
        <v/>
      </c>
      <c r="CW155" s="21" t="str">
        <f aca="false">IF(OR(CW$3="",LOWER(TRIM(CW$3))="grand total",TRIM(CW$3)="(blank)"),"",IF(COUNTIF(CW4:CW153,"&gt;0")&gt;0,1,0))</f>
        <v/>
      </c>
      <c r="CX155" s="21" t="str">
        <f aca="false">IF(OR(CX$3="",LOWER(TRIM(CX$3))="grand total",TRIM(CX$3)="(blank)"),"",IF(COUNTIF(CX4:CX153,"&gt;0")&gt;0,1,0))</f>
        <v/>
      </c>
      <c r="CY155" s="21" t="str">
        <f aca="false">IF(OR(CY$3="",LOWER(TRIM(CY$3))="grand total",TRIM(CY$3)="(blank)"),"",IF(COUNTIF(CY4:CY153,"&gt;0")&gt;0,1,0))</f>
        <v/>
      </c>
      <c r="CZ155" s="21" t="str">
        <f aca="false">IF(OR(CZ$3="",LOWER(TRIM(CZ$3))="grand total",TRIM(CZ$3)="(blank)"),"",IF(COUNTIF(CZ4:CZ153,"&gt;0")&gt;0,1,0))</f>
        <v/>
      </c>
      <c r="DA155" s="21" t="str">
        <f aca="false">IF(OR(DA$3="",LOWER(TRIM(DA$3))="grand total",TRIM(DA$3)="(blank)"),"",IF(COUNTIF(DA4:DA153,"&gt;0")&gt;0,1,0))</f>
        <v/>
      </c>
      <c r="DB155" s="21" t="str">
        <f aca="false">IF(OR(DB$3="",LOWER(TRIM(DB$3))="grand total",TRIM(DB$3)="(blank)"),"",IF(COUNTIF(DB4:DB153,"&gt;0")&gt;0,1,0))</f>
        <v/>
      </c>
      <c r="DC155" s="21" t="str">
        <f aca="false">IF(OR(DC$3="",LOWER(TRIM(DC$3))="grand total",TRIM(DC$3)="(blank)"),"",IF(COUNTIF(DC4:DC153,"&gt;0")&gt;0,1,0))</f>
        <v/>
      </c>
      <c r="DD155" s="21" t="str">
        <f aca="false">IF(OR(DD$3="",LOWER(TRIM(DD$3))="grand total",TRIM(DD$3)="(blank)"),"",IF(COUNTIF(DD4:DD153,"&gt;0")&gt;0,1,0))</f>
        <v/>
      </c>
      <c r="DE155" s="21" t="str">
        <f aca="false">IF(OR(DE$3="",LOWER(TRIM(DE$3))="grand total",TRIM(DE$3)="(blank)"),"",IF(COUNTIF(DE4:DE153,"&gt;0")&gt;0,1,0))</f>
        <v/>
      </c>
      <c r="DF155" s="21" t="str">
        <f aca="false">IF(OR(DF$3="",LOWER(TRIM(DF$3))="grand total",TRIM(DF$3)="(blank)"),"",IF(COUNTIF(DF4:DF153,"&gt;0")&gt;0,1,0))</f>
        <v/>
      </c>
      <c r="DG155" s="21" t="str">
        <f aca="false">IF(OR(DG$3="",LOWER(TRIM(DG$3))="grand total",TRIM(DG$3)="(blank)"),"",IF(COUNTIF(DG4:DG153,"&gt;0")&gt;0,1,0))</f>
        <v/>
      </c>
      <c r="DH155" s="21" t="str">
        <f aca="false">IF(OR(DH$3="",LOWER(TRIM(DH$3))="grand total",TRIM(DH$3)="(blank)"),"",IF(COUNTIF(DH4:DH153,"&gt;0")&gt;0,1,0))</f>
        <v/>
      </c>
      <c r="DI155" s="21" t="str">
        <f aca="false">IF(OR(DI$3="",LOWER(TRIM(DI$3))="grand total",TRIM(DI$3)="(blank)"),"",IF(COUNTIF(DI4:DI153,"&gt;0")&gt;0,1,0))</f>
        <v/>
      </c>
      <c r="DJ155" s="21" t="str">
        <f aca="false">IF(OR(DJ$3="",LOWER(TRIM(DJ$3))="grand total",TRIM(DJ$3)="(blank)"),"",IF(COUNTIF(DJ4:DJ153,"&gt;0")&gt;0,1,0))</f>
        <v/>
      </c>
      <c r="DK155" s="21" t="str">
        <f aca="false">IF(OR(DK$3="",LOWER(TRIM(DK$3))="grand total",TRIM(DK$3)="(blank)"),"",IF(COUNTIF(DK4:DK153,"&gt;0")&gt;0,1,0))</f>
        <v/>
      </c>
      <c r="DL155" s="21" t="str">
        <f aca="false">IF(OR(DL$3="",LOWER(TRIM(DL$3))="grand total",TRIM(DL$3)="(blank)"),"",IF(COUNTIF(DL4:DL153,"&gt;0")&gt;0,1,0))</f>
        <v/>
      </c>
      <c r="DM155" s="21" t="str">
        <f aca="false">IF(OR(DM$3="",LOWER(TRIM(DM$3))="grand total",TRIM(DM$3)="(blank)"),"",IF(COUNTIF(DM4:DM153,"&gt;0")&gt;0,1,0))</f>
        <v/>
      </c>
      <c r="DN155" s="21" t="str">
        <f aca="false">IF(OR(DN$3="",LOWER(TRIM(DN$3))="grand total",TRIM(DN$3)="(blank)"),"",IF(COUNTIF(DN4:DN153,"&gt;0")&gt;0,1,0))</f>
        <v/>
      </c>
      <c r="DO155" s="21" t="str">
        <f aca="false">IF(OR(DO$3="",LOWER(TRIM(DO$3))="grand total",TRIM(DO$3)="(blank)"),"",IF(COUNTIF(DO4:DO153,"&gt;0")&gt;0,1,0))</f>
        <v/>
      </c>
      <c r="DP155" s="21" t="str">
        <f aca="false">IF(OR(DP$3="",LOWER(TRIM(DP$3))="grand total",TRIM(DP$3)="(blank)"),"",IF(COUNTIF(DP4:DP153,"&gt;0")&gt;0,1,0))</f>
        <v/>
      </c>
      <c r="DQ155" s="21" t="str">
        <f aca="false">IF(OR(DQ$3="",LOWER(TRIM(DQ$3))="grand total",TRIM(DQ$3)="(blank)"),"",IF(COUNTIF(DQ4:DQ153,"&gt;0")&gt;0,1,0))</f>
        <v/>
      </c>
    </row>
    <row r="158" customFormat="false" ht="15" hidden="false" customHeight="false" outlineLevel="0" collapsed="false">
      <c r="A158" s="6" t="s">
        <v>280</v>
      </c>
      <c r="B158" s="7"/>
      <c r="C158" s="7"/>
    </row>
    <row r="159" customFormat="false" ht="15" hidden="false" customHeight="false" outlineLevel="0" collapsed="false">
      <c r="A159" s="8" t="s">
        <v>266</v>
      </c>
      <c r="B159" s="16" t="n">
        <f aca="false">SUM(DU4:DU153)</f>
        <v>0</v>
      </c>
    </row>
    <row r="160" customFormat="false" ht="15" hidden="false" customHeight="false" outlineLevel="0" collapsed="false">
      <c r="A160" s="8" t="s">
        <v>267</v>
      </c>
      <c r="B160" s="24" t="n">
        <v>302</v>
      </c>
    </row>
    <row r="161" customFormat="false" ht="15" hidden="false" customHeight="false" outlineLevel="0" collapsed="false">
      <c r="A161" s="8" t="s">
        <v>268</v>
      </c>
      <c r="B161" s="25" t="n">
        <f aca="false">1-(B159/B160)</f>
        <v>1</v>
      </c>
    </row>
    <row r="162" customFormat="false" ht="15" hidden="false" customHeight="false" outlineLevel="0" collapsed="false">
      <c r="A162" s="13" t="s">
        <v>269</v>
      </c>
      <c r="B162" s="14" t="n">
        <f aca="false">MIN(1,MAX(0,ROUND(B161,2)))</f>
        <v>1</v>
      </c>
    </row>
    <row r="164" customFormat="false" ht="15" hidden="false" customHeight="false" outlineLevel="0" collapsed="false">
      <c r="A164" s="8" t="s">
        <v>270</v>
      </c>
      <c r="B164" s="26" t="n">
        <f aca="false">Calculator!$B$6</f>
        <v>55</v>
      </c>
    </row>
    <row r="165" customFormat="false" ht="15" hidden="false" customHeight="false" outlineLevel="0" collapsed="false">
      <c r="A165" s="8" t="s">
        <v>281</v>
      </c>
      <c r="B165" s="16" t="n">
        <f aca="false">SUM(B155:DQ155)</f>
        <v>0</v>
      </c>
    </row>
    <row r="166" customFormat="false" ht="15" hidden="false" customHeight="false" outlineLevel="0" collapsed="false">
      <c r="A166" s="8" t="s">
        <v>272</v>
      </c>
      <c r="B166" s="25" t="n">
        <f aca="false">1-(B165/B164)</f>
        <v>1</v>
      </c>
    </row>
    <row r="167" customFormat="false" ht="15" hidden="false" customHeight="false" outlineLevel="0" collapsed="false">
      <c r="A167" s="13" t="s">
        <v>273</v>
      </c>
      <c r="B167" s="14" t="n">
        <f aca="false">MIN(1,MAX(0,ROUND(B166,2)))</f>
        <v>1</v>
      </c>
    </row>
  </sheetData>
  <mergeCells count="1">
    <mergeCell ref="C2:J2"/>
  </mergeCells>
  <dataValidations count="1">
    <dataValidation allowBlank="false" errorStyle="stop" operator="between" showDropDown="false" showErrorMessage="false" showInputMessage="false" sqref="B2" type="list">
      <formula1>"H,M,L"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2026-09-19T07:27:34Z</dcterms:created>
  <dc:creator>openpyxl</dc:creator>
  <dc:description/>
  <dc:language>en-US</dc:language>
  <cp:lastModifiedBy/>
  <dcterms:modified xsi:type="dcterms:W3CDTF">2026-09-19T07:27:34Z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