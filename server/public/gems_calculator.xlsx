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5.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Calculator" sheetId="2" state="visible" r:id="rId4"/>
    <sheet name="OCRMS Risk Map" sheetId="3" state="visible" r:id="rId5"/>
    <sheet name="OCTMS Risk Map" sheetId="4" state="visible" r:id="rId6"/>
    <sheet name="OCRMS Data" sheetId="5" state="visible" r:id="rId7"/>
    <sheet name="OCTMS Data" sheetId="6" state="visible" r:id="rId8"/>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B311" authorId="0">
      <text>
        <r>
          <rPr>
            <sz val="10"/>
            <rFont val="Arial"/>
            <family val="2"/>
          </rPr>
          <t xml:space="preserve">Fixed value from BCC:COMPLIANCE:118/993, Annexure-I total risk score.</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B2137" authorId="0">
      <text>
        <r>
          <rPr>
            <sz val="10"/>
            <rFont val="Arial"/>
            <family val="2"/>
          </rPr>
          <t xml:space="preserve">Fixed value from BCC:COMPLIANCE:118/993, Annexure-III total risk score.</t>
        </r>
      </text>
    </comment>
  </commentList>
</comments>
</file>

<file path=xl/sharedStrings.xml><?xml version="1.0" encoding="utf-8"?>
<sst xmlns="http://schemas.openxmlformats.org/spreadsheetml/2006/main" count="497" uniqueCount="289">
  <si>
    <t xml:space="preserve">GEMS Compliance Marks Calculator</t>
  </si>
  <si>
    <t xml:space="preserve">Region / Zone level — OCRMS (off-site) &amp; OCTMS (on-site) scoring per BCC:COMPLIANCE:118/993 (FY 2026-27)</t>
  </si>
  <si>
    <t xml:space="preserve">HOW TO USE</t>
  </si>
  <si>
    <t xml:space="preserve">1. Export your OCRMS pivot report from your compliance system, unchanged — branches as rows, parameter codes as column headers, Grand Total row and column included (the same shape your system already produces).</t>
  </si>
  <si>
    <t xml:space="preserve">2. Open the "OCRMS Data" tab. Select the WHOLE pivot table in your source (the "Row Labels" header cell through the Grand Total row and column) and paste it starting at cell A3 — nowhere else. Nothing needs reshaping; the sheet finds each parameter code and scores it automatically.</t>
  </si>
  <si>
    <t xml:space="preserve">3. Open the "OCTMS Data" tab. This one takes the RAW system export directly — no pivoting needed. Select the whole export (every column, every row) from your system and paste it starting at cell A2.</t>
  </si>
  <si>
    <t xml:space="preserve">4. Go to the "Calculator" tab and fill in the yellow input cells: total branches in the region, your grade, CERMO-Nxt %, penalty marks, Compliance Forum and AEOA status, and the Part C (ATR closure) counts.</t>
  </si>
  <si>
    <t xml:space="preserve">5. The Grand Total (out of 10) updates automatically as you fill things in.</t>
  </si>
  <si>
    <t xml:space="preserve">CELL COLOUR KEY</t>
  </si>
  <si>
    <t xml:space="preserve">  Blue text on pale yellow  =  type your own value here</t>
  </si>
  <si>
    <t xml:space="preserve">  Black text                =  formula — do not overwrite</t>
  </si>
  <si>
    <t xml:space="preserve">  Green text                 =  a link pulling a value from another sheet</t>
  </si>
  <si>
    <t xml:space="preserve">WHAT EACH SHEET DOES</t>
  </si>
  <si>
    <t xml:space="preserve">  Calculator       Your inputs and the final marks (this is the only sheet most people need to touch).</t>
  </si>
  <si>
    <t xml:space="preserve">  OCRMS Data       Paste your OCRMS pivot export here. Auto-scores Part A and Part B for OCRMS.</t>
  </si>
  <si>
    <t xml:space="preserve">  OCTMS Data       Paste your OCTMS raw system export here (no pivot needed). Auto-scores Part A and Part B for OCTMS.</t>
  </si>
  <si>
    <t xml:space="preserve">  OCRMS Risk Map   Reference table: all 67 Annexure-I parameters and their risk weights. Do not edit.</t>
  </si>
  <si>
    <t xml:space="preserve">  OCTMS Risk Map   Reference table: all 126 Annexure-III parameters and their risk weights. Do not edit.</t>
  </si>
  <si>
    <t xml:space="preserve">NOTES</t>
  </si>
  <si>
    <t xml:space="preserve">  - OCRMS Part A treats a parameter as "hit" if ANY branch shows a non-compliance count above zero in it.</t>
  </si>
  <si>
    <t xml:space="preserve">  - OCTMS Part A treats a parameter as "hit" if ANY row for that parameter code has FINAL_STATUS_OF_PARAMETER = NON-COMPLIED.</t>
  </si>
  <si>
    <t xml:space="preserve">  - Part B for OCRMS only counts a branch as non-complied if it hit a HIGH-risk parameter; OCTMS counts a branch as non-complied if it hit ANY parameter — this matches the circular text.</t>
  </si>
  <si>
    <t xml:space="preserve">  - "Total branches in the Region" is a separate manual entry because a fully-compliant branch will not appear as a row in a non-compliance pivot report at all.</t>
  </si>
  <si>
    <t xml:space="preserve">  - This workbook has no macros and needs no internet connection — safe to use on a locked-down machine.</t>
  </si>
  <si>
    <t xml:space="preserve">Fill in the yellow cells. Everything else updates automatically.</t>
  </si>
  <si>
    <t xml:space="preserve">REGION SETUP</t>
  </si>
  <si>
    <t xml:space="preserve">Total branches in the Region</t>
  </si>
  <si>
    <t xml:space="preserve">Used as the denominator for Part B in both OCRMS and OCTMS.</t>
  </si>
  <si>
    <t xml:space="preserve">OCRMS — OFF-SITE (max 3)</t>
  </si>
  <si>
    <t xml:space="preserve">Part A — Parameter Risk Score (auto)</t>
  </si>
  <si>
    <t xml:space="preserve">Part B — Non-complied Branches (auto)</t>
  </si>
  <si>
    <t xml:space="preserve">Part C — initial non-complied instances</t>
  </si>
  <si>
    <t xml:space="preserve">Part C — closed &amp; verified (month end)</t>
  </si>
  <si>
    <t xml:space="preserve">Part C — ATR Closure (auto)</t>
  </si>
  <si>
    <t xml:space="preserve">OCRMS TOTAL (/3)</t>
  </si>
  <si>
    <t xml:space="preserve">OCTMS — ON-SITE (max 3)</t>
  </si>
  <si>
    <t xml:space="preserve">Part C — closed &amp; verified (60th day)</t>
  </si>
  <si>
    <t xml:space="preserve">OCTMS TOTAL (/3)</t>
  </si>
  <si>
    <t xml:space="preserve">OTHER KRA ITEMS</t>
  </si>
  <si>
    <t xml:space="preserve">Grade</t>
  </si>
  <si>
    <t xml:space="preserve">Regional Head / DRM</t>
  </si>
  <si>
    <t xml:space="preserve">CERMO-Nxt compliance level (%)</t>
  </si>
  <si>
    <t xml:space="preserve">Regulatory penalty marks — month 1 / 2 / 3</t>
  </si>
  <si>
    <t xml:space="preserve">Compliance Forum Meeting held &amp; reported?</t>
  </si>
  <si>
    <t xml:space="preserve">Yes</t>
  </si>
  <si>
    <t xml:space="preserve">AEOA Scheme data submitted to RCO? (Regional Head/DRM only)</t>
  </si>
  <si>
    <t xml:space="preserve">Forum max (role-based)</t>
  </si>
  <si>
    <t xml:space="preserve">AEOA applies?</t>
  </si>
  <si>
    <t xml:space="preserve">Cermo marks (0-1)</t>
  </si>
  <si>
    <t xml:space="preserve">Penalty marks (avg)</t>
  </si>
  <si>
    <t xml:space="preserve">Forum marks</t>
  </si>
  <si>
    <t xml:space="preserve">AEOA marks</t>
  </si>
  <si>
    <t xml:space="preserve">TOTALS</t>
  </si>
  <si>
    <t xml:space="preserve">OCRMS bucket (Total + Cermo + AEOA)</t>
  </si>
  <si>
    <t xml:space="preserve">OCTMS bucket (Total + Penalty + Forum)</t>
  </si>
  <si>
    <t xml:space="preserve">GRAND TOTAL (out of 10)</t>
  </si>
  <si>
    <t xml:space="preserve">/ 10</t>
  </si>
  <si>
    <t xml:space="preserve">Annexure-I — OCRMS parameter risk weights (reference only, do not edit)</t>
  </si>
  <si>
    <t xml:space="preserve">Parameter Code</t>
  </si>
  <si>
    <t xml:space="preserve">Risk Rating</t>
  </si>
  <si>
    <t xml:space="preserve">Weight</t>
  </si>
  <si>
    <t xml:space="preserve">PARAMETER-001</t>
  </si>
  <si>
    <t xml:space="preserve">L</t>
  </si>
  <si>
    <t xml:space="preserve">PARAMETER-002</t>
  </si>
  <si>
    <t xml:space="preserve">PARAMETER-003</t>
  </si>
  <si>
    <t xml:space="preserve">H</t>
  </si>
  <si>
    <t xml:space="preserve">PARAMETER-005</t>
  </si>
  <si>
    <t xml:space="preserve">M</t>
  </si>
  <si>
    <t xml:space="preserve">PARAMETER-006</t>
  </si>
  <si>
    <t xml:space="preserve">PARAMETER-007</t>
  </si>
  <si>
    <t xml:space="preserve">PARAMETER-008</t>
  </si>
  <si>
    <t xml:space="preserve">PARAMETER-009</t>
  </si>
  <si>
    <t xml:space="preserve">PARAMETER-010</t>
  </si>
  <si>
    <t xml:space="preserve">PARAMETER-011</t>
  </si>
  <si>
    <t xml:space="preserve">PARAMETER-012</t>
  </si>
  <si>
    <t xml:space="preserve">PARAMETER-014</t>
  </si>
  <si>
    <t xml:space="preserve">PARAMETER-016</t>
  </si>
  <si>
    <t xml:space="preserve">PARAMETER-017</t>
  </si>
  <si>
    <t xml:space="preserve">PARAMETER-018</t>
  </si>
  <si>
    <t xml:space="preserve">PARAMETER-019</t>
  </si>
  <si>
    <t xml:space="preserve">PARAMETER-020</t>
  </si>
  <si>
    <t xml:space="preserve">PARAMETER-021</t>
  </si>
  <si>
    <t xml:space="preserve">PARAMETER-022</t>
  </si>
  <si>
    <t xml:space="preserve">PARAMETER-023</t>
  </si>
  <si>
    <t xml:space="preserve">PARAMETER-024</t>
  </si>
  <si>
    <t xml:space="preserve">PARAMETER-026</t>
  </si>
  <si>
    <t xml:space="preserve">PARAMETER-027</t>
  </si>
  <si>
    <t xml:space="preserve">PARAMETER-028</t>
  </si>
  <si>
    <t xml:space="preserve">PARAMETER-029</t>
  </si>
  <si>
    <t xml:space="preserve">PARAMETER-031</t>
  </si>
  <si>
    <t xml:space="preserve">PARAMETER-033</t>
  </si>
  <si>
    <t xml:space="preserve">PARAMETER-034</t>
  </si>
  <si>
    <t xml:space="preserve">PARAMETER-035</t>
  </si>
  <si>
    <t xml:space="preserve">PARAMETER-041</t>
  </si>
  <si>
    <t xml:space="preserve">PARAMETER-042</t>
  </si>
  <si>
    <t xml:space="preserve">PARAMETER-044</t>
  </si>
  <si>
    <t xml:space="preserve">PARAMETER-047</t>
  </si>
  <si>
    <t xml:space="preserve">PARAMETER-048</t>
  </si>
  <si>
    <t xml:space="preserve">PARAMETER-051</t>
  </si>
  <si>
    <t xml:space="preserve">PARAMETER-052</t>
  </si>
  <si>
    <t xml:space="preserve">PARAMETER-053</t>
  </si>
  <si>
    <t xml:space="preserve">PARAMETER-054</t>
  </si>
  <si>
    <t xml:space="preserve">PARAMETER-055</t>
  </si>
  <si>
    <t xml:space="preserve">PARAMETER-056</t>
  </si>
  <si>
    <t xml:space="preserve">PARAMETER-057</t>
  </si>
  <si>
    <t xml:space="preserve">PARAMETER-058</t>
  </si>
  <si>
    <t xml:space="preserve">PARAMETER-060</t>
  </si>
  <si>
    <t xml:space="preserve">PARAMETER-061</t>
  </si>
  <si>
    <t xml:space="preserve">PARAMETER-062</t>
  </si>
  <si>
    <t xml:space="preserve">PARAMETER-063</t>
  </si>
  <si>
    <t xml:space="preserve">PARAMETER-064</t>
  </si>
  <si>
    <t xml:space="preserve">PARAMETER-065</t>
  </si>
  <si>
    <t xml:space="preserve">PARAMETER-066</t>
  </si>
  <si>
    <t xml:space="preserve">PARAMETER-067</t>
  </si>
  <si>
    <t xml:space="preserve">PARAMETER-068</t>
  </si>
  <si>
    <t xml:space="preserve">PARAMETER-069</t>
  </si>
  <si>
    <t xml:space="preserve">PARAMETER-070</t>
  </si>
  <si>
    <t xml:space="preserve">PARAMETER-071</t>
  </si>
  <si>
    <t xml:space="preserve">PARAMETER-072</t>
  </si>
  <si>
    <t xml:space="preserve">PARAMETER-073</t>
  </si>
  <si>
    <t xml:space="preserve">PARAMETER-074</t>
  </si>
  <si>
    <t xml:space="preserve">PARAMETER-075</t>
  </si>
  <si>
    <t xml:space="preserve">PARAMETER-076</t>
  </si>
  <si>
    <t xml:space="preserve">PARAMETER-077</t>
  </si>
  <si>
    <t xml:space="preserve">PARAMETER-078</t>
  </si>
  <si>
    <t xml:space="preserve">PARAMETER-079</t>
  </si>
  <si>
    <t xml:space="preserve">PARAMETER-080</t>
  </si>
  <si>
    <t xml:space="preserve">PARAMETER-081</t>
  </si>
  <si>
    <t xml:space="preserve">PARAMETER-082</t>
  </si>
  <si>
    <t xml:space="preserve">PARAMETER-083</t>
  </si>
  <si>
    <t xml:space="preserve">PARAMETER-084</t>
  </si>
  <si>
    <t xml:space="preserve">Total risk denominator (fixed, per circular): 139</t>
  </si>
  <si>
    <t xml:space="preserve">Annexure-III — OCTMS parameter risk weights (reference only, do not edit)</t>
  </si>
  <si>
    <t xml:space="preserve">A1</t>
  </si>
  <si>
    <t xml:space="preserve">A3</t>
  </si>
  <si>
    <t xml:space="preserve">A4</t>
  </si>
  <si>
    <t xml:space="preserve">A5</t>
  </si>
  <si>
    <t xml:space="preserve">A6</t>
  </si>
  <si>
    <t xml:space="preserve">A7</t>
  </si>
  <si>
    <t xml:space="preserve">A9</t>
  </si>
  <si>
    <t xml:space="preserve">A10</t>
  </si>
  <si>
    <t xml:space="preserve">A11</t>
  </si>
  <si>
    <t xml:space="preserve">A12</t>
  </si>
  <si>
    <t xml:space="preserve">A13</t>
  </si>
  <si>
    <t xml:space="preserve">A14</t>
  </si>
  <si>
    <t xml:space="preserve">A15</t>
  </si>
  <si>
    <t xml:space="preserve">B2</t>
  </si>
  <si>
    <t xml:space="preserve">B3</t>
  </si>
  <si>
    <t xml:space="preserve">B4</t>
  </si>
  <si>
    <t xml:space="preserve">B5</t>
  </si>
  <si>
    <t xml:space="preserve">B6</t>
  </si>
  <si>
    <t xml:space="preserve">B7</t>
  </si>
  <si>
    <t xml:space="preserve">C2</t>
  </si>
  <si>
    <t xml:space="preserve">C3</t>
  </si>
  <si>
    <t xml:space="preserve">C4</t>
  </si>
  <si>
    <t xml:space="preserve">C5</t>
  </si>
  <si>
    <t xml:space="preserve">C6</t>
  </si>
  <si>
    <t xml:space="preserve">D1</t>
  </si>
  <si>
    <t xml:space="preserve">D2</t>
  </si>
  <si>
    <t xml:space="preserve">E1</t>
  </si>
  <si>
    <t xml:space="preserve">E2</t>
  </si>
  <si>
    <t xml:space="preserve">F1</t>
  </si>
  <si>
    <t xml:space="preserve">F2</t>
  </si>
  <si>
    <t xml:space="preserve">F3</t>
  </si>
  <si>
    <t xml:space="preserve">F4</t>
  </si>
  <si>
    <t xml:space="preserve">F5</t>
  </si>
  <si>
    <t xml:space="preserve">F6</t>
  </si>
  <si>
    <t xml:space="preserve">F7</t>
  </si>
  <si>
    <t xml:space="preserve">F8</t>
  </si>
  <si>
    <t xml:space="preserve">F9</t>
  </si>
  <si>
    <t xml:space="preserve">G1</t>
  </si>
  <si>
    <t xml:space="preserve">G2</t>
  </si>
  <si>
    <t xml:space="preserve">H1</t>
  </si>
  <si>
    <t xml:space="preserve">I1</t>
  </si>
  <si>
    <t xml:space="preserve">I2</t>
  </si>
  <si>
    <t xml:space="preserve">K1</t>
  </si>
  <si>
    <t xml:space="preserve">K2</t>
  </si>
  <si>
    <t xml:space="preserve">K3</t>
  </si>
  <si>
    <t xml:space="preserve">K4</t>
  </si>
  <si>
    <t xml:space="preserve">K5</t>
  </si>
  <si>
    <t xml:space="preserve">K6</t>
  </si>
  <si>
    <t xml:space="preserve">K7</t>
  </si>
  <si>
    <t xml:space="preserve">K8</t>
  </si>
  <si>
    <t xml:space="preserve">K9</t>
  </si>
  <si>
    <t xml:space="preserve">K14</t>
  </si>
  <si>
    <t xml:space="preserve">K15</t>
  </si>
  <si>
    <t xml:space="preserve">K16</t>
  </si>
  <si>
    <t xml:space="preserve">K17</t>
  </si>
  <si>
    <t xml:space="preserve">K18</t>
  </si>
  <si>
    <t xml:space="preserve">K19</t>
  </si>
  <si>
    <t xml:space="preserve">K20</t>
  </si>
  <si>
    <t xml:space="preserve">L1</t>
  </si>
  <si>
    <t xml:space="preserve">L2</t>
  </si>
  <si>
    <t xml:space="preserve">L3</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</si>
  <si>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</si>
  <si>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</si>
  <si>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</si>
  <si>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</si>
  <si>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</si>
  <si>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</si>
  <si>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</si>
  <si>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</si>
  <si>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</si>
  <si>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</si>
  <si>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M12</t>
  </si>
  <si>
    <t xml:space="preserve">M13</t>
  </si>
  <si>
    <t xml:space="preserve">M14</t>
  </si>
  <si>
    <t xml:space="preserve">M15</t>
  </si>
  <si>
    <t xml:space="preserve">M17</t>
  </si>
  <si>
    <t xml:space="preserve">M18</t>
  </si>
  <si>
    <t xml:space="preserve">M19</t>
  </si>
  <si>
    <t xml:space="preserve">M20</t>
  </si>
  <si>
    <t xml:space="preserve">M21</t>
  </si>
  <si>
    <t xml:space="preserve">M24</t>
  </si>
  <si>
    <t xml:space="preserve">M25</t>
  </si>
  <si>
    <t xml:space="preserve">M26</t>
  </si>
  <si>
    <t xml:space="preserve">M27</t>
  </si>
  <si>
    <t xml:space="preserve">M28</t>
  </si>
  <si>
    <t xml:space="preserve">M29</t>
  </si>
  <si>
    <t xml:space="preserve">M30</t>
  </si>
  <si>
    <t xml:space="preserve">M31</t>
  </si>
  <si>
    <t xml:space="preserve">M32</t>
  </si>
  <si>
    <t xml:space="preserve">M33</t>
  </si>
  <si>
    <t xml:space="preserve">M34</t>
  </si>
  <si>
    <t xml:space="preserve">M35</t>
  </si>
  <si>
    <t xml:space="preserve">M36</t>
  </si>
  <si>
    <t xml:space="preserve">M37</t>
  </si>
  <si>
    <t xml:space="preserve">M38</t>
  </si>
  <si>
    <t xml:space="preserve">M39</t>
  </si>
  <si>
    <t xml:space="preserve">M40</t>
  </si>
  <si>
    <t xml:space="preserve">M41</t>
  </si>
  <si>
    <t xml:space="preserve">M42</t>
  </si>
  <si>
    <t xml:space="preserve">M43</t>
  </si>
  <si>
    <t xml:space="preserve">M44</t>
  </si>
  <si>
    <t xml:space="preserve">M45</t>
  </si>
  <si>
    <t xml:space="preserve">M46</t>
  </si>
  <si>
    <t xml:space="preserve">M47</t>
  </si>
  <si>
    <t xml:space="preserve">M48</t>
  </si>
  <si>
    <t xml:space="preserve">M49</t>
  </si>
  <si>
    <t xml:space="preserve">M50</t>
  </si>
  <si>
    <t xml:space="preserve">M51</t>
  </si>
  <si>
    <t xml:space="preserve">M52</t>
  </si>
  <si>
    <t xml:space="preserve">M53</t>
  </si>
  <si>
    <t xml:space="preserve">M54</t>
  </si>
  <si>
    <t xml:space="preserve">M55</t>
  </si>
  <si>
    <t xml:space="preserve">M56</t>
  </si>
  <si>
    <t xml:space="preserve">M57</t>
  </si>
  <si>
    <t xml:space="preserve">M58</t>
  </si>
  <si>
    <t xml:space="preserve">M59</t>
  </si>
  <si>
    <t xml:space="preserve">M60</t>
  </si>
  <si>
    <t xml:space="preserve">M61</t>
  </si>
  <si>
    <t xml:space="preserve">M62</t>
  </si>
  <si>
    <t xml:space="preserve">M63</t>
  </si>
  <si>
    <t xml:space="preserve">M64</t>
  </si>
  <si>
    <t xml:space="preserve">M65</t>
  </si>
  <si>
    <t xml:space="preserve">N1</t>
  </si>
  <si>
    <t xml:space="preserve">N2</t>
  </si>
  <si>
    <t xml:space="preserve">N3</t>
  </si>
  <si>
    <t xml:space="preserve">N4</t>
  </si>
  <si>
    <t xml:space="preserve">Total risk denominator (fixed, per circular): 302</t>
  </si>
  <si>
    <t xml:space="preserve">OCRMS Data — paste your WHOLE OCRMS pivot export here, starting at cell A3</t>
  </si>
  <si>
    <t xml:space="preserve">Select your pivot in your compliance system (the "Row Labels" header, every parameter column, the Grand Total row/column — everything) and paste it starting at cell A3, exactly as exported. Do not reshape it or skip rows. Rows 1-2 hold formulas — paste at A3, never A1.</t>
  </si>
  <si>
    <t xml:space="preserve">Row Labels</t>
  </si>
  <si>
    <t xml:space="preserve">High-Risk Hit? (auto)</t>
  </si>
  <si>
    <t xml:space="preserve">Hit? (auto)</t>
  </si>
  <si>
    <t xml:space="preserve">Weight Contributed (auto)</t>
  </si>
  <si>
    <t xml:space="preserve">OCRMS PART A / B SUMMARY</t>
  </si>
  <si>
    <t xml:space="preserve">Risk score obtained</t>
  </si>
  <si>
    <t xml:space="preserve">Total risk (denominator)</t>
  </si>
  <si>
    <t xml:space="preserve">Compliance % (A)</t>
  </si>
  <si>
    <t xml:space="preserve">Marks A (0-1)</t>
  </si>
  <si>
    <t xml:space="preserve">Total branches in Region</t>
  </si>
  <si>
    <t xml:space="preserve">Branches with HIGH-risk violation</t>
  </si>
  <si>
    <t xml:space="preserve">Compliance % (B)</t>
  </si>
  <si>
    <t xml:space="preserve">Marks B (0-1)</t>
  </si>
  <si>
    <t xml:space="preserve">OCTMS Data — paste your RAW OCTMS system export here, starting at cell A2</t>
  </si>
  <si>
    <t xml:space="preserve">Paste the export exactly as your system generates it — every column (TRACKER_ID, RISK, BRANCH_ALPHA, PARAMETER_VALUE, ... FINAL_STATUS_OF_PARAMETER, ...), every row, header included — starting at cell A2. No pivoting, no reshaping. Column order does not matter; the sheet finds BRANCH_ALPHA, PARAMETER_VALUE and FINAL_STATUS_OF_PARAMETER by their header text.</t>
  </si>
  <si>
    <t xml:space="preserve">BRANCH_ALPHA</t>
  </si>
  <si>
    <t xml:space="preserve">Distinct non-complied branch? (auto)</t>
  </si>
  <si>
    <t xml:space="preserve">Column lookup (auto — do not edit)</t>
  </si>
  <si>
    <t xml:space="preserve">BRANCH_ALPHA column #</t>
  </si>
  <si>
    <t xml:space="preserve">PARAMETER_VALUE column #</t>
  </si>
  <si>
    <t xml:space="preserve">FINAL_STATUS_OF_PARAMETER column #</t>
  </si>
  <si>
    <t xml:space="preserve">PART A SCORING (auto — one row per known Annexure-III code)</t>
  </si>
  <si>
    <t xml:space="preserve">Hit?</t>
  </si>
  <si>
    <t xml:space="preserve">Weight Contributed</t>
  </si>
  <si>
    <t xml:space="preserve">Non-complied rows with an unrecognised parameter code (check manually, excluded from score)</t>
  </si>
  <si>
    <t xml:space="preserve">OCTMS PART A / B SUMMARY</t>
  </si>
  <si>
    <t xml:space="preserve">Non-complied branches</t>
  </si>
</sst>
</file>

<file path=xl/styles.xml><?xml version="1.0" encoding="utf-8"?>
<styleSheet xmlns="http://schemas.openxmlformats.org/spreadsheetml/2006/main">
  <numFmts count="4">
    <numFmt numFmtId="164" formatCode="General"/>
    <numFmt numFmtId="165" formatCode="0.00"/>
    <numFmt numFmtId="166" formatCode="General"/>
    <numFmt numFmtId="167" formatCode="0.00%"/>
  </numFmts>
  <fonts count="18">
    <font>
      <sz val="11"/>
      <color theme="1"/>
      <name val="Calibri"/>
      <family val="2"/>
      <charset val="1"/>
    </font>
    <font>
      <sz val="10"/>
      <name val="Arial"/>
      <family val="0"/>
    </font>
    <font>
      <sz val="10"/>
      <name val="Arial"/>
      <family val="0"/>
    </font>
    <font>
      <sz val="10"/>
      <name val="Arial"/>
      <family val="0"/>
    </font>
    <font>
      <b val="true"/>
      <sz val="14"/>
      <color rgb="FF1F2937"/>
      <name val="Arial"/>
      <family val="0"/>
      <charset val="1"/>
    </font>
    <font>
      <i val="true"/>
      <sz val="10"/>
      <color rgb="FF4B5563"/>
      <name val="Arial"/>
      <family val="0"/>
      <charset val="1"/>
    </font>
    <font>
      <b val="true"/>
      <sz val="10"/>
      <name val="Arial"/>
      <family val="0"/>
      <charset val="1"/>
    </font>
    <font>
      <sz val="10"/>
      <name val="Arial"/>
      <family val="0"/>
      <charset val="1"/>
    </font>
    <font>
      <i val="true"/>
      <sz val="9"/>
      <color rgb="FF6B7280"/>
      <name val="Arial"/>
      <family val="0"/>
      <charset val="1"/>
    </font>
    <font>
      <b val="true"/>
      <sz val="11"/>
      <color rgb="FFFFFFFF"/>
      <name val="Arial"/>
      <family val="0"/>
      <charset val="1"/>
    </font>
    <font>
      <sz val="10"/>
      <color rgb="FF0000FF"/>
      <name val="Arial"/>
      <family val="0"/>
      <charset val="1"/>
    </font>
    <font>
      <sz val="10"/>
      <color rgb="FF008000"/>
      <name val="Arial"/>
      <family val="0"/>
      <charset val="1"/>
    </font>
    <font>
      <sz val="10"/>
      <color rgb="FF000000"/>
      <name val="Arial"/>
      <family val="0"/>
      <charset val="1"/>
    </font>
    <font>
      <b val="true"/>
      <sz val="11"/>
      <color rgb="FF000000"/>
      <name val="Arial"/>
      <family val="0"/>
      <charset val="1"/>
    </font>
    <font>
      <b val="true"/>
      <sz val="16"/>
      <color rgb="FF1F2937"/>
      <name val="Arial"/>
      <family val="0"/>
      <charset val="1"/>
    </font>
    <font>
      <b val="true"/>
      <sz val="9"/>
      <color rgb="FFFFFFFF"/>
      <name val="Arial"/>
      <family val="0"/>
      <charset val="1"/>
    </font>
    <font>
      <i val="true"/>
      <sz val="9"/>
      <color rgb="FF9CA3AF"/>
      <name val="Arial"/>
      <family val="0"/>
      <charset val="1"/>
    </font>
    <font>
      <sz val="10"/>
      <name val="Arial"/>
      <family val="2"/>
    </font>
  </fonts>
  <fills count="7">
    <fill>
      <patternFill patternType="none"/>
    </fill>
    <fill>
      <patternFill patternType="gray125"/>
    </fill>
    <fill>
      <patternFill patternType="solid">
        <fgColor rgb="FF1F2937"/>
        <bgColor rgb="FF374151"/>
      </patternFill>
    </fill>
    <fill>
      <patternFill patternType="solid">
        <fgColor rgb="FFFFFDE7"/>
        <bgColor rgb="FFFFFFFF"/>
      </patternFill>
    </fill>
    <fill>
      <patternFill patternType="solid">
        <fgColor rgb="FFE0E7FF"/>
        <bgColor rgb="FFD1D5DB"/>
      </patternFill>
    </fill>
    <fill>
      <patternFill patternType="solid">
        <fgColor rgb="FF374151"/>
        <bgColor rgb="FF4B5563"/>
      </patternFill>
    </fill>
    <fill>
      <patternFill patternType="solid">
        <fgColor rgb="FFFFF9C4"/>
        <bgColor rgb="FFFFFDE7"/>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5" fontId="13" fillId="4"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5" fontId="14" fillId="4" borderId="1" xfId="0" applyFont="true" applyBorder="true" applyAlignment="fals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6" fontId="12" fillId="0" borderId="0" xfId="0" applyFont="true" applyBorder="false" applyAlignment="true" applyProtection="false">
      <alignment horizontal="center" vertical="center" textRotation="0" wrapText="false" indent="0" shrinkToFit="false"/>
      <protection locked="true" hidden="false"/>
    </xf>
    <xf numFmtId="164" fontId="16" fillId="6" borderId="1" xfId="0" applyFont="true" applyBorder="true" applyAlignment="fals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5" fillId="5" borderId="1" xfId="0" applyFont="true" applyBorder="true" applyAlignment="fals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C4"/>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DE7"/>
      <rgbColor rgb="FF99CCFF"/>
      <rgbColor rgb="FFFF99CC"/>
      <rgbColor rgb="FFCC99FF"/>
      <rgbColor rgb="FFFFCC99"/>
      <rgbColor rgb="FF3366FF"/>
      <rgbColor rgb="FF33CCCC"/>
      <rgbColor rgb="FF99CC00"/>
      <rgbColor rgb="FFFFCC00"/>
      <rgbColor rgb="FFFF9900"/>
      <rgbColor rgb="FFFF6600"/>
      <rgbColor rgb="FF6B7280"/>
      <rgbColor rgb="FF9CA3AF"/>
      <rgbColor rgb="FF003366"/>
      <rgbColor rgb="FF339966"/>
      <rgbColor rgb="FF003300"/>
      <rgbColor rgb="FF4B5563"/>
      <rgbColor rgb="FF993300"/>
      <rgbColor rgb="FF993366"/>
      <rgbColor rgb="FF374151"/>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0"/>
  </cols>
  <sheetData>
    <row r="1" customFormat="false" ht="17.35" hidden="false" customHeight="false" outlineLevel="0" collapsed="false">
      <c r="A1" s="1" t="s">
        <v>0</v>
      </c>
    </row>
    <row r="2" customFormat="false" ht="15" hidden="false" customHeight="false" outlineLevel="0" collapsed="false">
      <c r="A2" s="2" t="s">
        <v>1</v>
      </c>
    </row>
    <row r="5" customFormat="false" ht="15.75" hidden="false" customHeight="true" outlineLevel="0" collapsed="false">
      <c r="A5" s="3" t="s">
        <v>2</v>
      </c>
    </row>
    <row r="6" customFormat="false" ht="30" hidden="false" customHeight="true" outlineLevel="0" collapsed="false">
      <c r="A6" s="4" t="s">
        <v>3</v>
      </c>
    </row>
    <row r="7" customFormat="false" ht="30" hidden="false" customHeight="true" outlineLevel="0" collapsed="false">
      <c r="A7" s="4" t="s">
        <v>4</v>
      </c>
    </row>
    <row r="8" customFormat="false" ht="30" hidden="false" customHeight="true" outlineLevel="0" collapsed="false">
      <c r="A8" s="4" t="s">
        <v>5</v>
      </c>
    </row>
    <row r="9" customFormat="false" ht="30" hidden="false" customHeight="true" outlineLevel="0" collapsed="false">
      <c r="A9" s="4" t="s">
        <v>6</v>
      </c>
    </row>
    <row r="10" customFormat="false" ht="15.75" hidden="false" customHeight="true" outlineLevel="0" collapsed="false">
      <c r="A10" s="4" t="s">
        <v>7</v>
      </c>
    </row>
    <row r="12" customFormat="false" ht="15.75" hidden="false" customHeight="true" outlineLevel="0" collapsed="false">
      <c r="A12" s="3" t="s">
        <v>8</v>
      </c>
    </row>
    <row r="13" customFormat="false" ht="15.75" hidden="false" customHeight="true" outlineLevel="0" collapsed="false">
      <c r="A13" s="5" t="s">
        <v>9</v>
      </c>
    </row>
    <row r="14" customFormat="false" ht="15.75" hidden="false" customHeight="true" outlineLevel="0" collapsed="false">
      <c r="A14" s="5" t="s">
        <v>10</v>
      </c>
    </row>
    <row r="15" customFormat="false" ht="15.75" hidden="false" customHeight="true" outlineLevel="0" collapsed="false">
      <c r="A15" s="5" t="s">
        <v>11</v>
      </c>
    </row>
    <row r="17" customFormat="false" ht="15.75" hidden="false" customHeight="true" outlineLevel="0" collapsed="false">
      <c r="A17" s="3" t="s">
        <v>12</v>
      </c>
    </row>
    <row r="18" customFormat="false" ht="30" hidden="false" customHeight="true" outlineLevel="0" collapsed="false">
      <c r="A18" s="5" t="s">
        <v>13</v>
      </c>
    </row>
    <row r="19" customFormat="false" ht="30" hidden="false" customHeight="true" outlineLevel="0" collapsed="false">
      <c r="A19" s="5" t="s">
        <v>14</v>
      </c>
    </row>
    <row r="20" customFormat="false" ht="30" hidden="false" customHeight="true" outlineLevel="0" collapsed="false">
      <c r="A20" s="5" t="s">
        <v>15</v>
      </c>
    </row>
    <row r="21" customFormat="false" ht="30" hidden="false" customHeight="true" outlineLevel="0" collapsed="false">
      <c r="A21" s="5" t="s">
        <v>16</v>
      </c>
    </row>
    <row r="22" customFormat="false" ht="30" hidden="false" customHeight="true" outlineLevel="0" collapsed="false">
      <c r="A22" s="5" t="s">
        <v>17</v>
      </c>
    </row>
    <row r="24" customFormat="false" ht="15.75" hidden="false" customHeight="true" outlineLevel="0" collapsed="false">
      <c r="A24" s="3" t="s">
        <v>18</v>
      </c>
    </row>
    <row r="25" customFormat="false" ht="30" hidden="false" customHeight="true" outlineLevel="0" collapsed="false">
      <c r="A25" s="5" t="s">
        <v>19</v>
      </c>
    </row>
    <row r="26" customFormat="false" ht="30" hidden="false" customHeight="true" outlineLevel="0" collapsed="false">
      <c r="A26" s="5" t="s">
        <v>20</v>
      </c>
    </row>
    <row r="27" customFormat="false" ht="30" hidden="false" customHeight="true" outlineLevel="0" collapsed="false">
      <c r="A27" s="5" t="s">
        <v>21</v>
      </c>
    </row>
    <row r="28" customFormat="false" ht="30" hidden="false" customHeight="true" outlineLevel="0" collapsed="false">
      <c r="A28" s="5" t="s">
        <v>22</v>
      </c>
    </row>
    <row r="29" customFormat="false" ht="30" hidden="false" customHeight="true" outlineLevel="0" collapsed="false">
      <c r="A29" s="5"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4" min="2" style="0" width="16"/>
  </cols>
  <sheetData>
    <row r="1" customFormat="false" ht="17.35" hidden="false" customHeight="false" outlineLevel="0" collapsed="false">
      <c r="A1" s="1" t="s">
        <v>0</v>
      </c>
    </row>
    <row r="2" customFormat="false" ht="15" hidden="false" customHeight="false" outlineLevel="0" collapsed="false">
      <c r="A2" s="2" t="s">
        <v>24</v>
      </c>
    </row>
    <row r="4" customFormat="false" ht="15" hidden="false" customHeight="false" outlineLevel="0" collapsed="false">
      <c r="A4" s="6" t="s">
        <v>25</v>
      </c>
      <c r="B4" s="7"/>
    </row>
    <row r="6" customFormat="false" ht="15" hidden="false" customHeight="false" outlineLevel="0" collapsed="false">
      <c r="A6" s="8" t="s">
        <v>26</v>
      </c>
      <c r="B6" s="9" t="n">
        <v>55</v>
      </c>
    </row>
    <row r="7" customFormat="false" ht="15" hidden="false" customHeight="false" outlineLevel="0" collapsed="false">
      <c r="A7" s="10" t="s">
        <v>27</v>
      </c>
    </row>
    <row r="9" customFormat="false" ht="15" hidden="false" customHeight="false" outlineLevel="0" collapsed="false">
      <c r="A9" s="6" t="s">
        <v>28</v>
      </c>
      <c r="B9" s="7"/>
    </row>
    <row r="10" customFormat="false" ht="15" hidden="false" customHeight="false" outlineLevel="0" collapsed="false">
      <c r="A10" s="8" t="s">
        <v>29</v>
      </c>
      <c r="B10" s="11" t="n">
        <f aca="false">'OCRMS Data'!$B$313</f>
        <v>1</v>
      </c>
    </row>
    <row r="11" customFormat="false" ht="15" hidden="false" customHeight="false" outlineLevel="0" collapsed="false">
      <c r="A11" s="8" t="s">
        <v>30</v>
      </c>
      <c r="B11" s="11" t="n">
        <f aca="false">'OCRMS Data'!$B$318</f>
        <v>1</v>
      </c>
    </row>
    <row r="12" customFormat="false" ht="15" hidden="false" customHeight="false" outlineLevel="0" collapsed="false">
      <c r="A12" s="8" t="s">
        <v>31</v>
      </c>
      <c r="B12" s="9" t="n">
        <v>0</v>
      </c>
    </row>
    <row r="13" customFormat="false" ht="15" hidden="false" customHeight="false" outlineLevel="0" collapsed="false">
      <c r="A13" s="8" t="s">
        <v>32</v>
      </c>
      <c r="B13" s="9" t="n">
        <v>0</v>
      </c>
    </row>
    <row r="14" customFormat="false" ht="15" hidden="false" customHeight="false" outlineLevel="0" collapsed="false">
      <c r="A14" s="8" t="s">
        <v>33</v>
      </c>
      <c r="B14" s="12" t="n">
        <f aca="false">IF(B12&gt;0,MIN(1,MAX(0,ROUND(B13/B12,2))),0)</f>
        <v>0</v>
      </c>
    </row>
    <row r="15" customFormat="false" ht="15" hidden="false" customHeight="false" outlineLevel="0" collapsed="false">
      <c r="A15" s="13" t="s">
        <v>34</v>
      </c>
      <c r="B15" s="14" t="n">
        <f aca="false">B10+B11+B14</f>
        <v>2</v>
      </c>
    </row>
    <row r="17" customFormat="false" ht="15" hidden="false" customHeight="false" outlineLevel="0" collapsed="false">
      <c r="A17" s="6" t="s">
        <v>35</v>
      </c>
      <c r="B17" s="7"/>
    </row>
    <row r="18" customFormat="false" ht="15" hidden="false" customHeight="false" outlineLevel="0" collapsed="false">
      <c r="A18" s="8" t="s">
        <v>29</v>
      </c>
      <c r="B18" s="11" t="n">
        <f aca="false">'OCTMS Data'!$B$2139</f>
        <v>1</v>
      </c>
    </row>
    <row r="19" customFormat="false" ht="15" hidden="false" customHeight="false" outlineLevel="0" collapsed="false">
      <c r="A19" s="8" t="s">
        <v>30</v>
      </c>
      <c r="B19" s="11" t="n">
        <f aca="false">'OCTMS Data'!$B$2144</f>
        <v>1</v>
      </c>
    </row>
    <row r="20" customFormat="false" ht="15" hidden="false" customHeight="false" outlineLevel="0" collapsed="false">
      <c r="A20" s="8" t="s">
        <v>31</v>
      </c>
      <c r="B20" s="9" t="n">
        <v>0</v>
      </c>
    </row>
    <row r="21" customFormat="false" ht="15" hidden="false" customHeight="false" outlineLevel="0" collapsed="false">
      <c r="A21" s="8" t="s">
        <v>36</v>
      </c>
      <c r="B21" s="9" t="n">
        <v>0</v>
      </c>
    </row>
    <row r="22" customFormat="false" ht="15" hidden="false" customHeight="false" outlineLevel="0" collapsed="false">
      <c r="A22" s="8" t="s">
        <v>33</v>
      </c>
      <c r="B22" s="12" t="n">
        <f aca="false">IF(B20&gt;0,MIN(1,MAX(0,ROUND(B21/B20,2))),0)</f>
        <v>0</v>
      </c>
    </row>
    <row r="23" customFormat="false" ht="15" hidden="false" customHeight="false" outlineLevel="0" collapsed="false">
      <c r="A23" s="13" t="s">
        <v>37</v>
      </c>
      <c r="B23" s="14" t="n">
        <f aca="false">B18+B19+B22</f>
        <v>2</v>
      </c>
    </row>
    <row r="25" customFormat="false" ht="15" hidden="false" customHeight="false" outlineLevel="0" collapsed="false">
      <c r="A25" s="6" t="s">
        <v>38</v>
      </c>
      <c r="B25" s="7"/>
    </row>
    <row r="26" customFormat="false" ht="15" hidden="false" customHeight="false" outlineLevel="0" collapsed="false">
      <c r="A26" s="8" t="s">
        <v>39</v>
      </c>
      <c r="B26" s="9" t="s">
        <v>40</v>
      </c>
    </row>
    <row r="27" customFormat="false" ht="27.75" hidden="false" customHeight="true" outlineLevel="0" collapsed="false">
      <c r="A27" s="15" t="str">
        <f aca="false">IF(B26="Regional Head / DRM","OCRMS bucket = OCRMS+Cermo+AEOA (max 5). OCTMS bucket = OCTMS+Penalty+Forum (max 5).","OCRMS bucket = OCRMS+Cermo (max 4). OCTMS bucket = OCTMS+Penalty+Forum (max 6).")</f>
        <v>OCRMS bucket = OCRMS+Cermo+AEOA (max 5). OCTMS bucket = OCTMS+Penalty+Forum (max 5).</v>
      </c>
      <c r="B27" s="15"/>
      <c r="C27" s="15"/>
      <c r="D27" s="15"/>
    </row>
    <row r="29" customFormat="false" ht="15" hidden="false" customHeight="false" outlineLevel="0" collapsed="false">
      <c r="A29" s="8" t="s">
        <v>41</v>
      </c>
      <c r="B29" s="9" t="n">
        <v>99.23</v>
      </c>
    </row>
    <row r="30" customFormat="false" ht="15" hidden="false" customHeight="false" outlineLevel="0" collapsed="false">
      <c r="A30" s="8" t="s">
        <v>42</v>
      </c>
      <c r="B30" s="9" t="n">
        <v>1</v>
      </c>
      <c r="C30" s="9" t="n">
        <v>0.5</v>
      </c>
      <c r="D30" s="9" t="n">
        <v>1</v>
      </c>
    </row>
    <row r="31" customFormat="false" ht="15" hidden="false" customHeight="false" outlineLevel="0" collapsed="false">
      <c r="A31" s="8" t="s">
        <v>43</v>
      </c>
      <c r="B31" s="9" t="s">
        <v>44</v>
      </c>
    </row>
    <row r="32" customFormat="false" ht="15" hidden="false" customHeight="false" outlineLevel="0" collapsed="false">
      <c r="A32" s="8" t="s">
        <v>45</v>
      </c>
      <c r="B32" s="9" t="s">
        <v>44</v>
      </c>
    </row>
    <row r="34" customFormat="false" ht="15" hidden="false" customHeight="false" outlineLevel="0" collapsed="false">
      <c r="A34" s="10" t="s">
        <v>46</v>
      </c>
      <c r="B34" s="16" t="n">
        <f aca="false">IF(B26="Regional Head / DRM",1,2)</f>
        <v>1</v>
      </c>
    </row>
    <row r="35" customFormat="false" ht="15" hidden="false" customHeight="false" outlineLevel="0" collapsed="false">
      <c r="A35" s="10" t="s">
        <v>47</v>
      </c>
      <c r="B35" s="16" t="str">
        <f aca="false">IF(B26="Regional Head / DRM","Yes","No")</f>
        <v>Yes</v>
      </c>
    </row>
    <row r="36" customFormat="false" ht="15" hidden="false" customHeight="false" outlineLevel="0" collapsed="false">
      <c r="A36" s="10" t="s">
        <v>48</v>
      </c>
      <c r="B36" s="12" t="n">
        <f aca="false">IF(B29&gt;0,MIN(1,ROUND(B29/100,2)),0)</f>
        <v>0.99</v>
      </c>
    </row>
    <row r="37" customFormat="false" ht="15" hidden="false" customHeight="false" outlineLevel="0" collapsed="false">
      <c r="A37" s="10" t="s">
        <v>49</v>
      </c>
      <c r="B37" s="12" t="n">
        <f aca="false">IFERROR(ROUND(AVERAGE(B30:D30),2),0)</f>
        <v>0.83</v>
      </c>
    </row>
    <row r="38" customFormat="false" ht="15" hidden="false" customHeight="false" outlineLevel="0" collapsed="false">
      <c r="A38" s="10" t="s">
        <v>50</v>
      </c>
      <c r="B38" s="12" t="n">
        <f aca="false">IF(B31="Yes",1,0)*B34</f>
        <v>1</v>
      </c>
    </row>
    <row r="39" customFormat="false" ht="15" hidden="false" customHeight="false" outlineLevel="0" collapsed="false">
      <c r="A39" s="10" t="s">
        <v>51</v>
      </c>
      <c r="B39" s="12" t="n">
        <f aca="false">IF(B35="Yes",IF(B32="Yes",1,0),0)</f>
        <v>1</v>
      </c>
    </row>
    <row r="41" customFormat="false" ht="15" hidden="false" customHeight="false" outlineLevel="0" collapsed="false">
      <c r="A41" s="6" t="s">
        <v>52</v>
      </c>
      <c r="B41" s="7"/>
      <c r="C41" s="7"/>
      <c r="D41" s="7"/>
    </row>
    <row r="42" customFormat="false" ht="15" hidden="false" customHeight="false" outlineLevel="0" collapsed="false">
      <c r="A42" s="8" t="s">
        <v>53</v>
      </c>
      <c r="B42" s="14" t="n">
        <f aca="false">B15+B36+B39</f>
        <v>3.99</v>
      </c>
      <c r="C42" s="10" t="str">
        <f aca="false">" / "&amp;IF(B35="Yes",5,4)</f>
        <v> / 5</v>
      </c>
    </row>
    <row r="43" customFormat="false" ht="15" hidden="false" customHeight="false" outlineLevel="0" collapsed="false">
      <c r="A43" s="8" t="s">
        <v>54</v>
      </c>
      <c r="B43" s="14" t="n">
        <f aca="false">B23+B37+B38</f>
        <v>3.83</v>
      </c>
      <c r="C43" s="10" t="str">
        <f aca="false">" / "&amp;IF(B35="Yes",5,6)</f>
        <v> / 5</v>
      </c>
    </row>
    <row r="45" customFormat="false" ht="19.7" hidden="false" customHeight="false" outlineLevel="0" collapsed="false">
      <c r="A45" s="1" t="s">
        <v>55</v>
      </c>
      <c r="B45" s="17" t="n">
        <f aca="false">ROUND(B42+B43,2)</f>
        <v>7.82</v>
      </c>
      <c r="C45" s="10" t="s">
        <v>56</v>
      </c>
    </row>
  </sheetData>
  <mergeCells count="1">
    <mergeCell ref="A27:D27"/>
  </mergeCells>
  <dataValidations count="3">
    <dataValidation allowBlank="false" errorStyle="stop" operator="between" showDropDown="false" showErrorMessage="false" showInputMessage="false" sqref="B26" type="list">
      <formula1>"Regional Head / DRM,Zonal Head / DGM (CA) / DGM (BD)"</formula1>
      <formula2>0</formula2>
    </dataValidation>
    <dataValidation allowBlank="false" errorStyle="stop" operator="between" showDropDown="false" showErrorMessage="false" showInputMessage="false" sqref="B31" type="list">
      <formula1>"Yes,No"</formula1>
      <formula2>0</formula2>
    </dataValidation>
    <dataValidation allowBlank="false" errorStyle="stop" operator="between" showDropDown="false" showErrorMessage="false" showInputMessage="false" sqref="B3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3" min="3" style="0" width="10"/>
  </cols>
  <sheetData>
    <row r="1" customFormat="false" ht="15" hidden="false" customHeight="false" outlineLevel="0" collapsed="false">
      <c r="A1" s="8" t="s">
        <v>57</v>
      </c>
    </row>
    <row r="3" customFormat="false" ht="15" hidden="false" customHeight="false" outlineLevel="0" collapsed="false">
      <c r="A3" s="18" t="s">
        <v>58</v>
      </c>
      <c r="B3" s="18" t="s">
        <v>59</v>
      </c>
      <c r="C3" s="18" t="s">
        <v>60</v>
      </c>
    </row>
    <row r="4" customFormat="false" ht="15" hidden="false" customHeight="false" outlineLevel="0" collapsed="false">
      <c r="A4" s="19" t="s">
        <v>61</v>
      </c>
      <c r="B4" s="20" t="s">
        <v>62</v>
      </c>
      <c r="C4" s="20" t="n">
        <v>1</v>
      </c>
    </row>
    <row r="5" customFormat="false" ht="15" hidden="false" customHeight="false" outlineLevel="0" collapsed="false">
      <c r="A5" s="19" t="s">
        <v>63</v>
      </c>
      <c r="B5" s="20" t="s">
        <v>62</v>
      </c>
      <c r="C5" s="20" t="n">
        <v>1</v>
      </c>
    </row>
    <row r="6" customFormat="false" ht="15" hidden="false" customHeight="false" outlineLevel="0" collapsed="false">
      <c r="A6" s="19" t="s">
        <v>64</v>
      </c>
      <c r="B6" s="20" t="s">
        <v>65</v>
      </c>
      <c r="C6" s="20" t="n">
        <v>3</v>
      </c>
    </row>
    <row r="7" customFormat="false" ht="15" hidden="false" customHeight="false" outlineLevel="0" collapsed="false">
      <c r="A7" s="19" t="s">
        <v>66</v>
      </c>
      <c r="B7" s="20" t="s">
        <v>67</v>
      </c>
      <c r="C7" s="20" t="n">
        <v>2</v>
      </c>
    </row>
    <row r="8" customFormat="false" ht="15" hidden="false" customHeight="false" outlineLevel="0" collapsed="false">
      <c r="A8" s="19" t="s">
        <v>68</v>
      </c>
      <c r="B8" s="20" t="s">
        <v>67</v>
      </c>
      <c r="C8" s="20" t="n">
        <v>2</v>
      </c>
    </row>
    <row r="9" customFormat="false" ht="15" hidden="false" customHeight="false" outlineLevel="0" collapsed="false">
      <c r="A9" s="19" t="s">
        <v>69</v>
      </c>
      <c r="B9" s="20" t="s">
        <v>67</v>
      </c>
      <c r="C9" s="20" t="n">
        <v>2</v>
      </c>
    </row>
    <row r="10" customFormat="false" ht="15" hidden="false" customHeight="false" outlineLevel="0" collapsed="false">
      <c r="A10" s="19" t="s">
        <v>70</v>
      </c>
      <c r="B10" s="20" t="s">
        <v>67</v>
      </c>
      <c r="C10" s="20" t="n">
        <v>2</v>
      </c>
    </row>
    <row r="11" customFormat="false" ht="15" hidden="false" customHeight="false" outlineLevel="0" collapsed="false">
      <c r="A11" s="19" t="s">
        <v>71</v>
      </c>
      <c r="B11" s="20" t="s">
        <v>67</v>
      </c>
      <c r="C11" s="20" t="n">
        <v>2</v>
      </c>
    </row>
    <row r="12" customFormat="false" ht="15" hidden="false" customHeight="false" outlineLevel="0" collapsed="false">
      <c r="A12" s="19" t="s">
        <v>72</v>
      </c>
      <c r="B12" s="20" t="s">
        <v>65</v>
      </c>
      <c r="C12" s="20" t="n">
        <v>3</v>
      </c>
    </row>
    <row r="13" customFormat="false" ht="15" hidden="false" customHeight="false" outlineLevel="0" collapsed="false">
      <c r="A13" s="19" t="s">
        <v>73</v>
      </c>
      <c r="B13" s="20" t="s">
        <v>65</v>
      </c>
      <c r="C13" s="20" t="n">
        <v>3</v>
      </c>
    </row>
    <row r="14" customFormat="false" ht="15" hidden="false" customHeight="false" outlineLevel="0" collapsed="false">
      <c r="A14" s="19" t="s">
        <v>74</v>
      </c>
      <c r="B14" s="20" t="s">
        <v>65</v>
      </c>
      <c r="C14" s="20" t="n">
        <v>3</v>
      </c>
    </row>
    <row r="15" customFormat="false" ht="15" hidden="false" customHeight="false" outlineLevel="0" collapsed="false">
      <c r="A15" s="19" t="s">
        <v>75</v>
      </c>
      <c r="B15" s="20" t="s">
        <v>65</v>
      </c>
      <c r="C15" s="20" t="n">
        <v>3</v>
      </c>
    </row>
    <row r="16" customFormat="false" ht="15" hidden="false" customHeight="false" outlineLevel="0" collapsed="false">
      <c r="A16" s="19" t="s">
        <v>76</v>
      </c>
      <c r="B16" s="20" t="s">
        <v>67</v>
      </c>
      <c r="C16" s="20" t="n">
        <v>2</v>
      </c>
    </row>
    <row r="17" customFormat="false" ht="15" hidden="false" customHeight="false" outlineLevel="0" collapsed="false">
      <c r="A17" s="19" t="s">
        <v>77</v>
      </c>
      <c r="B17" s="20" t="s">
        <v>65</v>
      </c>
      <c r="C17" s="20" t="n">
        <v>3</v>
      </c>
    </row>
    <row r="18" customFormat="false" ht="15" hidden="false" customHeight="false" outlineLevel="0" collapsed="false">
      <c r="A18" s="19" t="s">
        <v>78</v>
      </c>
      <c r="B18" s="20" t="s">
        <v>62</v>
      </c>
      <c r="C18" s="20" t="n">
        <v>1</v>
      </c>
    </row>
    <row r="19" customFormat="false" ht="15" hidden="false" customHeight="false" outlineLevel="0" collapsed="false">
      <c r="A19" s="19" t="s">
        <v>79</v>
      </c>
      <c r="B19" s="20" t="s">
        <v>67</v>
      </c>
      <c r="C19" s="20" t="n">
        <v>2</v>
      </c>
    </row>
    <row r="20" customFormat="false" ht="15" hidden="false" customHeight="false" outlineLevel="0" collapsed="false">
      <c r="A20" s="19" t="s">
        <v>80</v>
      </c>
      <c r="B20" s="20" t="s">
        <v>67</v>
      </c>
      <c r="C20" s="20" t="n">
        <v>2</v>
      </c>
    </row>
    <row r="21" customFormat="false" ht="15" hidden="false" customHeight="false" outlineLevel="0" collapsed="false">
      <c r="A21" s="19" t="s">
        <v>81</v>
      </c>
      <c r="B21" s="20" t="s">
        <v>67</v>
      </c>
      <c r="C21" s="20" t="n">
        <v>2</v>
      </c>
    </row>
    <row r="22" customFormat="false" ht="15" hidden="false" customHeight="false" outlineLevel="0" collapsed="false">
      <c r="A22" s="19" t="s">
        <v>82</v>
      </c>
      <c r="B22" s="20" t="s">
        <v>67</v>
      </c>
      <c r="C22" s="20" t="n">
        <v>2</v>
      </c>
    </row>
    <row r="23" customFormat="false" ht="15" hidden="false" customHeight="false" outlineLevel="0" collapsed="false">
      <c r="A23" s="19" t="s">
        <v>83</v>
      </c>
      <c r="B23" s="20" t="s">
        <v>67</v>
      </c>
      <c r="C23" s="20" t="n">
        <v>2</v>
      </c>
    </row>
    <row r="24" customFormat="false" ht="15" hidden="false" customHeight="false" outlineLevel="0" collapsed="false">
      <c r="A24" s="19" t="s">
        <v>84</v>
      </c>
      <c r="B24" s="20" t="s">
        <v>67</v>
      </c>
      <c r="C24" s="20" t="n">
        <v>2</v>
      </c>
    </row>
    <row r="25" customFormat="false" ht="15" hidden="false" customHeight="false" outlineLevel="0" collapsed="false">
      <c r="A25" s="19" t="s">
        <v>85</v>
      </c>
      <c r="B25" s="20" t="s">
        <v>62</v>
      </c>
      <c r="C25" s="20" t="n">
        <v>1</v>
      </c>
    </row>
    <row r="26" customFormat="false" ht="15" hidden="false" customHeight="false" outlineLevel="0" collapsed="false">
      <c r="A26" s="19" t="s">
        <v>86</v>
      </c>
      <c r="B26" s="20" t="s">
        <v>65</v>
      </c>
      <c r="C26" s="20" t="n">
        <v>3</v>
      </c>
    </row>
    <row r="27" customFormat="false" ht="15" hidden="false" customHeight="false" outlineLevel="0" collapsed="false">
      <c r="A27" s="19" t="s">
        <v>87</v>
      </c>
      <c r="B27" s="20" t="s">
        <v>65</v>
      </c>
      <c r="C27" s="20" t="n">
        <v>3</v>
      </c>
    </row>
    <row r="28" customFormat="false" ht="15" hidden="false" customHeight="false" outlineLevel="0" collapsed="false">
      <c r="A28" s="19" t="s">
        <v>88</v>
      </c>
      <c r="B28" s="20" t="s">
        <v>65</v>
      </c>
      <c r="C28" s="20" t="n">
        <v>3</v>
      </c>
    </row>
    <row r="29" customFormat="false" ht="15" hidden="false" customHeight="false" outlineLevel="0" collapsed="false">
      <c r="A29" s="19" t="s">
        <v>89</v>
      </c>
      <c r="B29" s="20" t="s">
        <v>67</v>
      </c>
      <c r="C29" s="20" t="n">
        <v>2</v>
      </c>
    </row>
    <row r="30" customFormat="false" ht="15" hidden="false" customHeight="false" outlineLevel="0" collapsed="false">
      <c r="A30" s="19" t="s">
        <v>90</v>
      </c>
      <c r="B30" s="20" t="s">
        <v>67</v>
      </c>
      <c r="C30" s="20" t="n">
        <v>2</v>
      </c>
    </row>
    <row r="31" customFormat="false" ht="15" hidden="false" customHeight="false" outlineLevel="0" collapsed="false">
      <c r="A31" s="19" t="s">
        <v>91</v>
      </c>
      <c r="B31" s="20" t="s">
        <v>67</v>
      </c>
      <c r="C31" s="20" t="n">
        <v>2</v>
      </c>
    </row>
    <row r="32" customFormat="false" ht="15" hidden="false" customHeight="false" outlineLevel="0" collapsed="false">
      <c r="A32" s="19" t="s">
        <v>92</v>
      </c>
      <c r="B32" s="20" t="s">
        <v>62</v>
      </c>
      <c r="C32" s="20" t="n">
        <v>1</v>
      </c>
    </row>
    <row r="33" customFormat="false" ht="15" hidden="false" customHeight="false" outlineLevel="0" collapsed="false">
      <c r="A33" s="19" t="s">
        <v>93</v>
      </c>
      <c r="B33" s="20" t="s">
        <v>67</v>
      </c>
      <c r="C33" s="20" t="n">
        <v>2</v>
      </c>
    </row>
    <row r="34" customFormat="false" ht="15" hidden="false" customHeight="false" outlineLevel="0" collapsed="false">
      <c r="A34" s="19" t="s">
        <v>94</v>
      </c>
      <c r="B34" s="20" t="s">
        <v>62</v>
      </c>
      <c r="C34" s="20" t="n">
        <v>1</v>
      </c>
    </row>
    <row r="35" customFormat="false" ht="15" hidden="false" customHeight="false" outlineLevel="0" collapsed="false">
      <c r="A35" s="19" t="s">
        <v>95</v>
      </c>
      <c r="B35" s="20" t="s">
        <v>62</v>
      </c>
      <c r="C35" s="20" t="n">
        <v>1</v>
      </c>
    </row>
    <row r="36" customFormat="false" ht="15" hidden="false" customHeight="false" outlineLevel="0" collapsed="false">
      <c r="A36" s="19" t="s">
        <v>96</v>
      </c>
      <c r="B36" s="20" t="s">
        <v>65</v>
      </c>
      <c r="C36" s="20" t="n">
        <v>3</v>
      </c>
    </row>
    <row r="37" customFormat="false" ht="15" hidden="false" customHeight="false" outlineLevel="0" collapsed="false">
      <c r="A37" s="19" t="s">
        <v>97</v>
      </c>
      <c r="B37" s="20" t="s">
        <v>65</v>
      </c>
      <c r="C37" s="20" t="n">
        <v>3</v>
      </c>
    </row>
    <row r="38" customFormat="false" ht="15" hidden="false" customHeight="false" outlineLevel="0" collapsed="false">
      <c r="A38" s="19" t="s">
        <v>98</v>
      </c>
      <c r="B38" s="20" t="s">
        <v>65</v>
      </c>
      <c r="C38" s="20" t="n">
        <v>3</v>
      </c>
    </row>
    <row r="39" customFormat="false" ht="15" hidden="false" customHeight="false" outlineLevel="0" collapsed="false">
      <c r="A39" s="19" t="s">
        <v>99</v>
      </c>
      <c r="B39" s="20" t="s">
        <v>65</v>
      </c>
      <c r="C39" s="20" t="n">
        <v>3</v>
      </c>
    </row>
    <row r="40" customFormat="false" ht="15" hidden="false" customHeight="false" outlineLevel="0" collapsed="false">
      <c r="A40" s="19" t="s">
        <v>100</v>
      </c>
      <c r="B40" s="20" t="s">
        <v>62</v>
      </c>
      <c r="C40" s="20" t="n">
        <v>1</v>
      </c>
    </row>
    <row r="41" customFormat="false" ht="15" hidden="false" customHeight="false" outlineLevel="0" collapsed="false">
      <c r="A41" s="19" t="s">
        <v>101</v>
      </c>
      <c r="B41" s="20" t="s">
        <v>67</v>
      </c>
      <c r="C41" s="20" t="n">
        <v>2</v>
      </c>
    </row>
    <row r="42" customFormat="false" ht="15" hidden="false" customHeight="false" outlineLevel="0" collapsed="false">
      <c r="A42" s="19" t="s">
        <v>102</v>
      </c>
      <c r="B42" s="20" t="s">
        <v>62</v>
      </c>
      <c r="C42" s="20" t="n">
        <v>1</v>
      </c>
    </row>
    <row r="43" customFormat="false" ht="15" hidden="false" customHeight="false" outlineLevel="0" collapsed="false">
      <c r="A43" s="19" t="s">
        <v>103</v>
      </c>
      <c r="B43" s="20" t="s">
        <v>65</v>
      </c>
      <c r="C43" s="20" t="n">
        <v>3</v>
      </c>
    </row>
    <row r="44" customFormat="false" ht="15" hidden="false" customHeight="false" outlineLevel="0" collapsed="false">
      <c r="A44" s="19" t="s">
        <v>104</v>
      </c>
      <c r="B44" s="20" t="s">
        <v>65</v>
      </c>
      <c r="C44" s="20" t="n">
        <v>3</v>
      </c>
    </row>
    <row r="45" customFormat="false" ht="15" hidden="false" customHeight="false" outlineLevel="0" collapsed="false">
      <c r="A45" s="19" t="s">
        <v>105</v>
      </c>
      <c r="B45" s="20" t="s">
        <v>65</v>
      </c>
      <c r="C45" s="20" t="n">
        <v>3</v>
      </c>
    </row>
    <row r="46" customFormat="false" ht="15" hidden="false" customHeight="false" outlineLevel="0" collapsed="false">
      <c r="A46" s="19" t="s">
        <v>106</v>
      </c>
      <c r="B46" s="20" t="s">
        <v>65</v>
      </c>
      <c r="C46" s="20" t="n">
        <v>3</v>
      </c>
    </row>
    <row r="47" customFormat="false" ht="15" hidden="false" customHeight="false" outlineLevel="0" collapsed="false">
      <c r="A47" s="19" t="s">
        <v>107</v>
      </c>
      <c r="B47" s="20" t="s">
        <v>67</v>
      </c>
      <c r="C47" s="20" t="n">
        <v>2</v>
      </c>
    </row>
    <row r="48" customFormat="false" ht="15" hidden="false" customHeight="false" outlineLevel="0" collapsed="false">
      <c r="A48" s="19" t="s">
        <v>108</v>
      </c>
      <c r="B48" s="20" t="s">
        <v>67</v>
      </c>
      <c r="C48" s="20" t="n">
        <v>2</v>
      </c>
    </row>
    <row r="49" customFormat="false" ht="15" hidden="false" customHeight="false" outlineLevel="0" collapsed="false">
      <c r="A49" s="19" t="s">
        <v>109</v>
      </c>
      <c r="B49" s="20" t="s">
        <v>65</v>
      </c>
      <c r="C49" s="20" t="n">
        <v>3</v>
      </c>
    </row>
    <row r="50" customFormat="false" ht="15" hidden="false" customHeight="false" outlineLevel="0" collapsed="false">
      <c r="A50" s="19" t="s">
        <v>110</v>
      </c>
      <c r="B50" s="20" t="s">
        <v>62</v>
      </c>
      <c r="C50" s="20" t="n">
        <v>1</v>
      </c>
    </row>
    <row r="51" customFormat="false" ht="15" hidden="false" customHeight="false" outlineLevel="0" collapsed="false">
      <c r="A51" s="19" t="s">
        <v>111</v>
      </c>
      <c r="B51" s="20" t="s">
        <v>65</v>
      </c>
      <c r="C51" s="20" t="n">
        <v>3</v>
      </c>
    </row>
    <row r="52" customFormat="false" ht="15" hidden="false" customHeight="false" outlineLevel="0" collapsed="false">
      <c r="A52" s="19" t="s">
        <v>112</v>
      </c>
      <c r="B52" s="20" t="s">
        <v>62</v>
      </c>
      <c r="C52" s="20" t="n">
        <v>1</v>
      </c>
    </row>
    <row r="53" customFormat="false" ht="15" hidden="false" customHeight="false" outlineLevel="0" collapsed="false">
      <c r="A53" s="19" t="s">
        <v>113</v>
      </c>
      <c r="B53" s="20" t="s">
        <v>67</v>
      </c>
      <c r="C53" s="20" t="n">
        <v>2</v>
      </c>
    </row>
    <row r="54" customFormat="false" ht="15" hidden="false" customHeight="false" outlineLevel="0" collapsed="false">
      <c r="A54" s="19" t="s">
        <v>114</v>
      </c>
      <c r="B54" s="20" t="s">
        <v>62</v>
      </c>
      <c r="C54" s="20" t="n">
        <v>1</v>
      </c>
    </row>
    <row r="55" customFormat="false" ht="15" hidden="false" customHeight="false" outlineLevel="0" collapsed="false">
      <c r="A55" s="19" t="s">
        <v>115</v>
      </c>
      <c r="B55" s="20" t="s">
        <v>65</v>
      </c>
      <c r="C55" s="20" t="n">
        <v>3</v>
      </c>
    </row>
    <row r="56" customFormat="false" ht="15" hidden="false" customHeight="false" outlineLevel="0" collapsed="false">
      <c r="A56" s="19" t="s">
        <v>116</v>
      </c>
      <c r="B56" s="20" t="s">
        <v>65</v>
      </c>
      <c r="C56" s="20" t="n">
        <v>3</v>
      </c>
    </row>
    <row r="57" customFormat="false" ht="15" hidden="false" customHeight="false" outlineLevel="0" collapsed="false">
      <c r="A57" s="19" t="s">
        <v>117</v>
      </c>
      <c r="B57" s="20" t="s">
        <v>67</v>
      </c>
      <c r="C57" s="20" t="n">
        <v>2</v>
      </c>
    </row>
    <row r="58" customFormat="false" ht="15" hidden="false" customHeight="false" outlineLevel="0" collapsed="false">
      <c r="A58" s="19" t="s">
        <v>118</v>
      </c>
      <c r="B58" s="20" t="s">
        <v>65</v>
      </c>
      <c r="C58" s="20" t="n">
        <v>3</v>
      </c>
    </row>
    <row r="59" customFormat="false" ht="15" hidden="false" customHeight="false" outlineLevel="0" collapsed="false">
      <c r="A59" s="19" t="s">
        <v>119</v>
      </c>
      <c r="B59" s="20" t="s">
        <v>65</v>
      </c>
      <c r="C59" s="20" t="n">
        <v>3</v>
      </c>
    </row>
    <row r="60" customFormat="false" ht="15" hidden="false" customHeight="false" outlineLevel="0" collapsed="false">
      <c r="A60" s="19" t="s">
        <v>120</v>
      </c>
      <c r="B60" s="20" t="s">
        <v>65</v>
      </c>
      <c r="C60" s="20" t="n">
        <v>3</v>
      </c>
    </row>
    <row r="61" customFormat="false" ht="15" hidden="false" customHeight="false" outlineLevel="0" collapsed="false">
      <c r="A61" s="19" t="s">
        <v>121</v>
      </c>
      <c r="B61" s="20" t="s">
        <v>62</v>
      </c>
      <c r="C61" s="20" t="n">
        <v>1</v>
      </c>
    </row>
    <row r="62" customFormat="false" ht="15" hidden="false" customHeight="false" outlineLevel="0" collapsed="false">
      <c r="A62" s="19" t="s">
        <v>122</v>
      </c>
      <c r="B62" s="20" t="s">
        <v>62</v>
      </c>
      <c r="C62" s="20" t="n">
        <v>1</v>
      </c>
    </row>
    <row r="63" customFormat="false" ht="15" hidden="false" customHeight="false" outlineLevel="0" collapsed="false">
      <c r="A63" s="19" t="s">
        <v>123</v>
      </c>
      <c r="B63" s="20" t="s">
        <v>62</v>
      </c>
      <c r="C63" s="20" t="n">
        <v>1</v>
      </c>
    </row>
    <row r="64" customFormat="false" ht="15" hidden="false" customHeight="false" outlineLevel="0" collapsed="false">
      <c r="A64" s="19" t="s">
        <v>124</v>
      </c>
      <c r="B64" s="20" t="s">
        <v>62</v>
      </c>
      <c r="C64" s="20" t="n">
        <v>1</v>
      </c>
    </row>
    <row r="65" customFormat="false" ht="15" hidden="false" customHeight="false" outlineLevel="0" collapsed="false">
      <c r="A65" s="19" t="s">
        <v>125</v>
      </c>
      <c r="B65" s="20" t="s">
        <v>67</v>
      </c>
      <c r="C65" s="20" t="n">
        <v>2</v>
      </c>
    </row>
    <row r="66" customFormat="false" ht="15" hidden="false" customHeight="false" outlineLevel="0" collapsed="false">
      <c r="A66" s="19" t="s">
        <v>126</v>
      </c>
      <c r="B66" s="20" t="s">
        <v>62</v>
      </c>
      <c r="C66" s="20" t="n">
        <v>1</v>
      </c>
    </row>
    <row r="67" customFormat="false" ht="15" hidden="false" customHeight="false" outlineLevel="0" collapsed="false">
      <c r="A67" s="19" t="s">
        <v>127</v>
      </c>
      <c r="B67" s="20" t="s">
        <v>62</v>
      </c>
      <c r="C67" s="20" t="n">
        <v>1</v>
      </c>
    </row>
    <row r="68" customFormat="false" ht="15" hidden="false" customHeight="false" outlineLevel="0" collapsed="false">
      <c r="A68" s="19" t="s">
        <v>128</v>
      </c>
      <c r="B68" s="20" t="s">
        <v>62</v>
      </c>
      <c r="C68" s="20" t="n">
        <v>1</v>
      </c>
    </row>
    <row r="69" customFormat="false" ht="15" hidden="false" customHeight="false" outlineLevel="0" collapsed="false">
      <c r="A69" s="19" t="s">
        <v>129</v>
      </c>
      <c r="B69" s="20" t="s">
        <v>65</v>
      </c>
      <c r="C69" s="20" t="n">
        <v>3</v>
      </c>
    </row>
    <row r="70" customFormat="false" ht="15" hidden="false" customHeight="false" outlineLevel="0" collapsed="false">
      <c r="A70" s="19" t="s">
        <v>130</v>
      </c>
      <c r="B70" s="20" t="s">
        <v>65</v>
      </c>
      <c r="C70" s="20" t="n">
        <v>3</v>
      </c>
    </row>
    <row r="72" customFormat="false" ht="15" hidden="false" customHeight="false" outlineLevel="0" collapsed="false">
      <c r="A72" s="10" t="s">
        <v>131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14"/>
    <col collapsed="false" customWidth="true" hidden="false" outlineLevel="0" max="3" min="3" style="0" width="10"/>
  </cols>
  <sheetData>
    <row r="1" customFormat="false" ht="15" hidden="false" customHeight="false" outlineLevel="0" collapsed="false">
      <c r="A1" s="8" t="s">
        <v>132</v>
      </c>
    </row>
    <row r="3" customFormat="false" ht="15" hidden="false" customHeight="false" outlineLevel="0" collapsed="false">
      <c r="A3" s="18" t="s">
        <v>58</v>
      </c>
      <c r="B3" s="18" t="s">
        <v>59</v>
      </c>
      <c r="C3" s="18" t="s">
        <v>60</v>
      </c>
    </row>
    <row r="4" customFormat="false" ht="15" hidden="false" customHeight="false" outlineLevel="0" collapsed="false">
      <c r="A4" s="19" t="s">
        <v>133</v>
      </c>
      <c r="B4" s="20" t="s">
        <v>65</v>
      </c>
      <c r="C4" s="20" t="n">
        <v>3</v>
      </c>
    </row>
    <row r="5" customFormat="false" ht="15" hidden="false" customHeight="false" outlineLevel="0" collapsed="false">
      <c r="A5" s="19" t="s">
        <v>134</v>
      </c>
      <c r="B5" s="20" t="s">
        <v>65</v>
      </c>
      <c r="C5" s="20" t="n">
        <v>3</v>
      </c>
    </row>
    <row r="6" customFormat="false" ht="15" hidden="false" customHeight="false" outlineLevel="0" collapsed="false">
      <c r="A6" s="19" t="s">
        <v>135</v>
      </c>
      <c r="B6" s="20" t="s">
        <v>65</v>
      </c>
      <c r="C6" s="20" t="n">
        <v>3</v>
      </c>
    </row>
    <row r="7" customFormat="false" ht="15" hidden="false" customHeight="false" outlineLevel="0" collapsed="false">
      <c r="A7" s="19" t="s">
        <v>136</v>
      </c>
      <c r="B7" s="20" t="s">
        <v>62</v>
      </c>
      <c r="C7" s="20" t="n">
        <v>1</v>
      </c>
    </row>
    <row r="8" customFormat="false" ht="15" hidden="false" customHeight="false" outlineLevel="0" collapsed="false">
      <c r="A8" s="19" t="s">
        <v>137</v>
      </c>
      <c r="B8" s="20" t="s">
        <v>65</v>
      </c>
      <c r="C8" s="20" t="n">
        <v>3</v>
      </c>
    </row>
    <row r="9" customFormat="false" ht="15" hidden="false" customHeight="false" outlineLevel="0" collapsed="false">
      <c r="A9" s="19" t="s">
        <v>138</v>
      </c>
      <c r="B9" s="20" t="s">
        <v>65</v>
      </c>
      <c r="C9" s="20" t="n">
        <v>3</v>
      </c>
    </row>
    <row r="10" customFormat="false" ht="15" hidden="false" customHeight="false" outlineLevel="0" collapsed="false">
      <c r="A10" s="19" t="s">
        <v>139</v>
      </c>
      <c r="B10" s="20" t="s">
        <v>65</v>
      </c>
      <c r="C10" s="20" t="n">
        <v>3</v>
      </c>
    </row>
    <row r="11" customFormat="false" ht="15" hidden="false" customHeight="false" outlineLevel="0" collapsed="false">
      <c r="A11" s="19" t="s">
        <v>140</v>
      </c>
      <c r="B11" s="20" t="s">
        <v>65</v>
      </c>
      <c r="C11" s="20" t="n">
        <v>3</v>
      </c>
    </row>
    <row r="12" customFormat="false" ht="15" hidden="false" customHeight="false" outlineLevel="0" collapsed="false">
      <c r="A12" s="19" t="s">
        <v>141</v>
      </c>
      <c r="B12" s="20" t="s">
        <v>65</v>
      </c>
      <c r="C12" s="20" t="n">
        <v>3</v>
      </c>
    </row>
    <row r="13" customFormat="false" ht="15" hidden="false" customHeight="false" outlineLevel="0" collapsed="false">
      <c r="A13" s="19" t="s">
        <v>142</v>
      </c>
      <c r="B13" s="20" t="s">
        <v>65</v>
      </c>
      <c r="C13" s="20" t="n">
        <v>3</v>
      </c>
    </row>
    <row r="14" customFormat="false" ht="15" hidden="false" customHeight="false" outlineLevel="0" collapsed="false">
      <c r="A14" s="19" t="s">
        <v>143</v>
      </c>
      <c r="B14" s="20" t="s">
        <v>65</v>
      </c>
      <c r="C14" s="20" t="n">
        <v>3</v>
      </c>
    </row>
    <row r="15" customFormat="false" ht="15" hidden="false" customHeight="false" outlineLevel="0" collapsed="false">
      <c r="A15" s="19" t="s">
        <v>144</v>
      </c>
      <c r="B15" s="20" t="s">
        <v>65</v>
      </c>
      <c r="C15" s="20" t="n">
        <v>3</v>
      </c>
    </row>
    <row r="16" customFormat="false" ht="15" hidden="false" customHeight="false" outlineLevel="0" collapsed="false">
      <c r="A16" s="19" t="s">
        <v>145</v>
      </c>
      <c r="B16" s="20" t="s">
        <v>65</v>
      </c>
      <c r="C16" s="20" t="n">
        <v>3</v>
      </c>
    </row>
    <row r="17" customFormat="false" ht="15" hidden="false" customHeight="false" outlineLevel="0" collapsed="false">
      <c r="A17" s="19" t="s">
        <v>146</v>
      </c>
      <c r="B17" s="20" t="s">
        <v>65</v>
      </c>
      <c r="C17" s="20" t="n">
        <v>3</v>
      </c>
    </row>
    <row r="18" customFormat="false" ht="15" hidden="false" customHeight="false" outlineLevel="0" collapsed="false">
      <c r="A18" s="19" t="s">
        <v>147</v>
      </c>
      <c r="B18" s="20" t="s">
        <v>65</v>
      </c>
      <c r="C18" s="20" t="n">
        <v>3</v>
      </c>
    </row>
    <row r="19" customFormat="false" ht="15" hidden="false" customHeight="false" outlineLevel="0" collapsed="false">
      <c r="A19" s="19" t="s">
        <v>148</v>
      </c>
      <c r="B19" s="20" t="s">
        <v>67</v>
      </c>
      <c r="C19" s="20" t="n">
        <v>2</v>
      </c>
    </row>
    <row r="20" customFormat="false" ht="15" hidden="false" customHeight="false" outlineLevel="0" collapsed="false">
      <c r="A20" s="19" t="s">
        <v>149</v>
      </c>
      <c r="B20" s="20" t="s">
        <v>65</v>
      </c>
      <c r="C20" s="20" t="n">
        <v>3</v>
      </c>
    </row>
    <row r="21" customFormat="false" ht="15" hidden="false" customHeight="false" outlineLevel="0" collapsed="false">
      <c r="A21" s="19" t="s">
        <v>150</v>
      </c>
      <c r="B21" s="20" t="s">
        <v>67</v>
      </c>
      <c r="C21" s="20" t="n">
        <v>2</v>
      </c>
    </row>
    <row r="22" customFormat="false" ht="15" hidden="false" customHeight="false" outlineLevel="0" collapsed="false">
      <c r="A22" s="19" t="s">
        <v>151</v>
      </c>
      <c r="B22" s="20" t="s">
        <v>65</v>
      </c>
      <c r="C22" s="20" t="n">
        <v>3</v>
      </c>
    </row>
    <row r="23" customFormat="false" ht="15" hidden="false" customHeight="false" outlineLevel="0" collapsed="false">
      <c r="A23" s="19" t="s">
        <v>152</v>
      </c>
      <c r="B23" s="20" t="s">
        <v>65</v>
      </c>
      <c r="C23" s="20" t="n">
        <v>3</v>
      </c>
    </row>
    <row r="24" customFormat="false" ht="15" hidden="false" customHeight="false" outlineLevel="0" collapsed="false">
      <c r="A24" s="19" t="s">
        <v>153</v>
      </c>
      <c r="B24" s="20" t="s">
        <v>65</v>
      </c>
      <c r="C24" s="20" t="n">
        <v>3</v>
      </c>
    </row>
    <row r="25" customFormat="false" ht="15" hidden="false" customHeight="false" outlineLevel="0" collapsed="false">
      <c r="A25" s="19" t="s">
        <v>154</v>
      </c>
      <c r="B25" s="20" t="s">
        <v>65</v>
      </c>
      <c r="C25" s="20" t="n">
        <v>3</v>
      </c>
    </row>
    <row r="26" customFormat="false" ht="15" hidden="false" customHeight="false" outlineLevel="0" collapsed="false">
      <c r="A26" s="19" t="s">
        <v>155</v>
      </c>
      <c r="B26" s="20" t="s">
        <v>67</v>
      </c>
      <c r="C26" s="20" t="n">
        <v>2</v>
      </c>
    </row>
    <row r="27" customFormat="false" ht="15" hidden="false" customHeight="false" outlineLevel="0" collapsed="false">
      <c r="A27" s="19" t="s">
        <v>156</v>
      </c>
      <c r="B27" s="20" t="s">
        <v>67</v>
      </c>
      <c r="C27" s="20" t="n">
        <v>2</v>
      </c>
    </row>
    <row r="28" customFormat="false" ht="15" hidden="false" customHeight="false" outlineLevel="0" collapsed="false">
      <c r="A28" s="19" t="s">
        <v>157</v>
      </c>
      <c r="B28" s="20" t="s">
        <v>65</v>
      </c>
      <c r="C28" s="20" t="n">
        <v>3</v>
      </c>
    </row>
    <row r="29" customFormat="false" ht="15" hidden="false" customHeight="false" outlineLevel="0" collapsed="false">
      <c r="A29" s="19" t="s">
        <v>158</v>
      </c>
      <c r="B29" s="20" t="s">
        <v>65</v>
      </c>
      <c r="C29" s="20" t="n">
        <v>3</v>
      </c>
    </row>
    <row r="30" customFormat="false" ht="15" hidden="false" customHeight="false" outlineLevel="0" collapsed="false">
      <c r="A30" s="19" t="s">
        <v>159</v>
      </c>
      <c r="B30" s="20" t="s">
        <v>65</v>
      </c>
      <c r="C30" s="20" t="n">
        <v>3</v>
      </c>
    </row>
    <row r="31" customFormat="false" ht="15" hidden="false" customHeight="false" outlineLevel="0" collapsed="false">
      <c r="A31" s="19" t="s">
        <v>160</v>
      </c>
      <c r="B31" s="20" t="s">
        <v>65</v>
      </c>
      <c r="C31" s="20" t="n">
        <v>3</v>
      </c>
    </row>
    <row r="32" customFormat="false" ht="15" hidden="false" customHeight="false" outlineLevel="0" collapsed="false">
      <c r="A32" s="19" t="s">
        <v>161</v>
      </c>
      <c r="B32" s="20" t="s">
        <v>65</v>
      </c>
      <c r="C32" s="20" t="n">
        <v>3</v>
      </c>
    </row>
    <row r="33" customFormat="false" ht="15" hidden="false" customHeight="false" outlineLevel="0" collapsed="false">
      <c r="A33" s="19" t="s">
        <v>162</v>
      </c>
      <c r="B33" s="20" t="s">
        <v>62</v>
      </c>
      <c r="C33" s="20" t="n">
        <v>1</v>
      </c>
    </row>
    <row r="34" customFormat="false" ht="15" hidden="false" customHeight="false" outlineLevel="0" collapsed="false">
      <c r="A34" s="19" t="s">
        <v>163</v>
      </c>
      <c r="B34" s="20" t="s">
        <v>65</v>
      </c>
      <c r="C34" s="20" t="n">
        <v>3</v>
      </c>
    </row>
    <row r="35" customFormat="false" ht="15" hidden="false" customHeight="false" outlineLevel="0" collapsed="false">
      <c r="A35" s="19" t="s">
        <v>164</v>
      </c>
      <c r="B35" s="20" t="s">
        <v>65</v>
      </c>
      <c r="C35" s="20" t="n">
        <v>3</v>
      </c>
    </row>
    <row r="36" customFormat="false" ht="15" hidden="false" customHeight="false" outlineLevel="0" collapsed="false">
      <c r="A36" s="19" t="s">
        <v>165</v>
      </c>
      <c r="B36" s="20" t="s">
        <v>67</v>
      </c>
      <c r="C36" s="20" t="n">
        <v>2</v>
      </c>
    </row>
    <row r="37" customFormat="false" ht="15" hidden="false" customHeight="false" outlineLevel="0" collapsed="false">
      <c r="A37" s="19" t="s">
        <v>166</v>
      </c>
      <c r="B37" s="20" t="s">
        <v>67</v>
      </c>
      <c r="C37" s="20" t="n">
        <v>2</v>
      </c>
    </row>
    <row r="38" customFormat="false" ht="15" hidden="false" customHeight="false" outlineLevel="0" collapsed="false">
      <c r="A38" s="19" t="s">
        <v>167</v>
      </c>
      <c r="B38" s="20" t="s">
        <v>65</v>
      </c>
      <c r="C38" s="20" t="n">
        <v>3</v>
      </c>
    </row>
    <row r="39" customFormat="false" ht="15" hidden="false" customHeight="false" outlineLevel="0" collapsed="false">
      <c r="A39" s="19" t="s">
        <v>168</v>
      </c>
      <c r="B39" s="20" t="s">
        <v>65</v>
      </c>
      <c r="C39" s="20" t="n">
        <v>3</v>
      </c>
    </row>
    <row r="40" customFormat="false" ht="15" hidden="false" customHeight="false" outlineLevel="0" collapsed="false">
      <c r="A40" s="19" t="s">
        <v>169</v>
      </c>
      <c r="B40" s="20" t="s">
        <v>65</v>
      </c>
      <c r="C40" s="20" t="n">
        <v>3</v>
      </c>
    </row>
    <row r="41" customFormat="false" ht="15" hidden="false" customHeight="false" outlineLevel="0" collapsed="false">
      <c r="A41" s="19" t="s">
        <v>170</v>
      </c>
      <c r="B41" s="20" t="s">
        <v>62</v>
      </c>
      <c r="C41" s="20" t="n">
        <v>1</v>
      </c>
    </row>
    <row r="42" customFormat="false" ht="15" hidden="false" customHeight="false" outlineLevel="0" collapsed="false">
      <c r="A42" s="19" t="s">
        <v>171</v>
      </c>
      <c r="B42" s="20" t="s">
        <v>67</v>
      </c>
      <c r="C42" s="20" t="n">
        <v>2</v>
      </c>
    </row>
    <row r="43" customFormat="false" ht="15" hidden="false" customHeight="false" outlineLevel="0" collapsed="false">
      <c r="A43" s="19" t="s">
        <v>172</v>
      </c>
      <c r="B43" s="20" t="s">
        <v>62</v>
      </c>
      <c r="C43" s="20" t="n">
        <v>1</v>
      </c>
    </row>
    <row r="44" customFormat="false" ht="15" hidden="false" customHeight="false" outlineLevel="0" collapsed="false">
      <c r="A44" s="19" t="s">
        <v>173</v>
      </c>
      <c r="B44" s="20" t="s">
        <v>65</v>
      </c>
      <c r="C44" s="20" t="n">
        <v>3</v>
      </c>
    </row>
    <row r="45" customFormat="false" ht="15" hidden="false" customHeight="false" outlineLevel="0" collapsed="false">
      <c r="A45" s="19" t="s">
        <v>174</v>
      </c>
      <c r="B45" s="20" t="s">
        <v>65</v>
      </c>
      <c r="C45" s="20" t="n">
        <v>3</v>
      </c>
    </row>
    <row r="46" customFormat="false" ht="15" hidden="false" customHeight="false" outlineLevel="0" collapsed="false">
      <c r="A46" s="19" t="s">
        <v>175</v>
      </c>
      <c r="B46" s="20" t="s">
        <v>65</v>
      </c>
      <c r="C46" s="20" t="n">
        <v>3</v>
      </c>
    </row>
    <row r="47" customFormat="false" ht="15" hidden="false" customHeight="false" outlineLevel="0" collapsed="false">
      <c r="A47" s="19" t="s">
        <v>176</v>
      </c>
      <c r="B47" s="20" t="s">
        <v>65</v>
      </c>
      <c r="C47" s="20" t="n">
        <v>3</v>
      </c>
    </row>
    <row r="48" customFormat="false" ht="15" hidden="false" customHeight="false" outlineLevel="0" collapsed="false">
      <c r="A48" s="19" t="s">
        <v>177</v>
      </c>
      <c r="B48" s="20" t="s">
        <v>65</v>
      </c>
      <c r="C48" s="20" t="n">
        <v>3</v>
      </c>
    </row>
    <row r="49" customFormat="false" ht="15" hidden="false" customHeight="false" outlineLevel="0" collapsed="false">
      <c r="A49" s="19" t="s">
        <v>178</v>
      </c>
      <c r="B49" s="20" t="s">
        <v>67</v>
      </c>
      <c r="C49" s="20" t="n">
        <v>2</v>
      </c>
    </row>
    <row r="50" customFormat="false" ht="15" hidden="false" customHeight="false" outlineLevel="0" collapsed="false">
      <c r="A50" s="19" t="s">
        <v>179</v>
      </c>
      <c r="B50" s="20" t="s">
        <v>67</v>
      </c>
      <c r="C50" s="20" t="n">
        <v>2</v>
      </c>
    </row>
    <row r="51" customFormat="false" ht="15" hidden="false" customHeight="false" outlineLevel="0" collapsed="false">
      <c r="A51" s="19" t="s">
        <v>180</v>
      </c>
      <c r="B51" s="20" t="s">
        <v>65</v>
      </c>
      <c r="C51" s="20" t="n">
        <v>3</v>
      </c>
    </row>
    <row r="52" customFormat="false" ht="15" hidden="false" customHeight="false" outlineLevel="0" collapsed="false">
      <c r="A52" s="19" t="s">
        <v>181</v>
      </c>
      <c r="B52" s="20" t="s">
        <v>65</v>
      </c>
      <c r="C52" s="20" t="n">
        <v>3</v>
      </c>
    </row>
    <row r="53" customFormat="false" ht="15" hidden="false" customHeight="false" outlineLevel="0" collapsed="false">
      <c r="A53" s="19" t="s">
        <v>182</v>
      </c>
      <c r="B53" s="20" t="s">
        <v>67</v>
      </c>
      <c r="C53" s="20" t="n">
        <v>2</v>
      </c>
    </row>
    <row r="54" customFormat="false" ht="15" hidden="false" customHeight="false" outlineLevel="0" collapsed="false">
      <c r="A54" s="19" t="s">
        <v>183</v>
      </c>
      <c r="B54" s="20" t="s">
        <v>65</v>
      </c>
      <c r="C54" s="20" t="n">
        <v>3</v>
      </c>
    </row>
    <row r="55" customFormat="false" ht="15" hidden="false" customHeight="false" outlineLevel="0" collapsed="false">
      <c r="A55" s="19" t="s">
        <v>184</v>
      </c>
      <c r="B55" s="20" t="s">
        <v>62</v>
      </c>
      <c r="C55" s="20" t="n">
        <v>1</v>
      </c>
    </row>
    <row r="56" customFormat="false" ht="15" hidden="false" customHeight="false" outlineLevel="0" collapsed="false">
      <c r="A56" s="19" t="s">
        <v>185</v>
      </c>
      <c r="B56" s="20" t="s">
        <v>65</v>
      </c>
      <c r="C56" s="20" t="n">
        <v>3</v>
      </c>
    </row>
    <row r="57" customFormat="false" ht="15" hidden="false" customHeight="false" outlineLevel="0" collapsed="false">
      <c r="A57" s="19" t="s">
        <v>186</v>
      </c>
      <c r="B57" s="20" t="s">
        <v>67</v>
      </c>
      <c r="C57" s="20" t="n">
        <v>2</v>
      </c>
    </row>
    <row r="58" customFormat="false" ht="15" hidden="false" customHeight="false" outlineLevel="0" collapsed="false">
      <c r="A58" s="19" t="s">
        <v>187</v>
      </c>
      <c r="B58" s="20" t="s">
        <v>62</v>
      </c>
      <c r="C58" s="20" t="n">
        <v>1</v>
      </c>
    </row>
    <row r="59" customFormat="false" ht="15" hidden="false" customHeight="false" outlineLevel="0" collapsed="false">
      <c r="A59" s="19" t="s">
        <v>188</v>
      </c>
      <c r="B59" s="20" t="s">
        <v>62</v>
      </c>
      <c r="C59" s="20" t="n">
        <v>1</v>
      </c>
    </row>
    <row r="60" customFormat="false" ht="15" hidden="false" customHeight="false" outlineLevel="0" collapsed="false">
      <c r="A60" s="19" t="s">
        <v>189</v>
      </c>
      <c r="B60" s="20" t="s">
        <v>62</v>
      </c>
      <c r="C60" s="20" t="n">
        <v>1</v>
      </c>
    </row>
    <row r="61" customFormat="false" ht="15" hidden="false" customHeight="false" outlineLevel="0" collapsed="false">
      <c r="A61" s="19" t="s">
        <v>190</v>
      </c>
      <c r="B61" s="20" t="s">
        <v>65</v>
      </c>
      <c r="C61" s="20" t="n">
        <v>3</v>
      </c>
    </row>
    <row r="62" customFormat="false" ht="15" hidden="false" customHeight="false" outlineLevel="0" collapsed="false">
      <c r="A62" s="19" t="s">
        <v>191</v>
      </c>
      <c r="B62" s="20" t="s">
        <v>65</v>
      </c>
      <c r="C62" s="20" t="n">
        <v>3</v>
      </c>
    </row>
    <row r="63" customFormat="false" ht="15" hidden="false" customHeight="false" outlineLevel="0" collapsed="false">
      <c r="A63" s="19" t="s">
        <v>192</v>
      </c>
      <c r="B63" s="20" t="s">
        <v>65</v>
      </c>
      <c r="C63" s="20" t="n">
        <v>3</v>
      </c>
    </row>
    <row r="64" customFormat="false" ht="15" hidden="false" customHeight="false" outlineLevel="0" collapsed="false">
      <c r="A64" s="19" t="s">
        <v>193</v>
      </c>
      <c r="B64" s="20" t="s">
        <v>62</v>
      </c>
      <c r="C64" s="20" t="n">
        <v>1</v>
      </c>
    </row>
    <row r="65" customFormat="false" ht="15" hidden="false" customHeight="false" outlineLevel="0" collapsed="false">
      <c r="A65" s="19" t="s">
        <v>194</v>
      </c>
      <c r="B65" s="20" t="s">
        <v>65</v>
      </c>
      <c r="C65" s="20" t="n">
        <v>3</v>
      </c>
    </row>
    <row r="66" customFormat="false" ht="15" hidden="false" customHeight="false" outlineLevel="0" collapsed="false">
      <c r="A66" s="19" t="s">
        <v>195</v>
      </c>
      <c r="B66" s="20" t="s">
        <v>67</v>
      </c>
      <c r="C66" s="20" t="n">
        <v>2</v>
      </c>
    </row>
    <row r="67" customFormat="false" ht="15" hidden="false" customHeight="false" outlineLevel="0" collapsed="false">
      <c r="A67" s="19" t="s">
        <v>196</v>
      </c>
      <c r="B67" s="20" t="s">
        <v>65</v>
      </c>
      <c r="C67" s="20" t="n">
        <v>3</v>
      </c>
    </row>
    <row r="68" customFormat="false" ht="15" hidden="false" customHeight="false" outlineLevel="0" collapsed="false">
      <c r="A68" s="19" t="s">
        <v>197</v>
      </c>
      <c r="B68" s="20" t="s">
        <v>62</v>
      </c>
      <c r="C68" s="20" t="n">
        <v>1</v>
      </c>
    </row>
    <row r="69" customFormat="false" ht="15" hidden="false" customHeight="false" outlineLevel="0" collapsed="false">
      <c r="A69" s="19" t="s">
        <v>198</v>
      </c>
      <c r="B69" s="20" t="s">
        <v>67</v>
      </c>
      <c r="C69" s="20" t="n">
        <v>2</v>
      </c>
    </row>
    <row r="70" customFormat="false" ht="15" hidden="false" customHeight="false" outlineLevel="0" collapsed="false">
      <c r="A70" s="19" t="s">
        <v>199</v>
      </c>
      <c r="B70" s="20" t="s">
        <v>65</v>
      </c>
      <c r="C70" s="20" t="n">
        <v>3</v>
      </c>
    </row>
    <row r="71" customFormat="false" ht="15" hidden="false" customHeight="false" outlineLevel="0" collapsed="false">
      <c r="A71" s="19" t="s">
        <v>200</v>
      </c>
      <c r="B71" s="20" t="s">
        <v>67</v>
      </c>
      <c r="C71" s="20" t="n">
        <v>2</v>
      </c>
    </row>
    <row r="72" customFormat="false" ht="15" hidden="false" customHeight="false" outlineLevel="0" collapsed="false">
      <c r="A72" s="19" t="s">
        <v>201</v>
      </c>
      <c r="B72" s="20" t="s">
        <v>67</v>
      </c>
      <c r="C72" s="20" t="n">
        <v>2</v>
      </c>
    </row>
    <row r="73" customFormat="false" ht="15" hidden="false" customHeight="false" outlineLevel="0" collapsed="false">
      <c r="A73" s="19" t="s">
        <v>202</v>
      </c>
      <c r="B73" s="20" t="s">
        <v>67</v>
      </c>
      <c r="C73" s="20" t="n">
        <v>2</v>
      </c>
    </row>
    <row r="74" customFormat="false" ht="15" hidden="false" customHeight="false" outlineLevel="0" collapsed="false">
      <c r="A74" s="19" t="s">
        <v>203</v>
      </c>
      <c r="B74" s="20" t="s">
        <v>65</v>
      </c>
      <c r="C74" s="20" t="n">
        <v>3</v>
      </c>
    </row>
    <row r="75" customFormat="false" ht="15" hidden="false" customHeight="false" outlineLevel="0" collapsed="false">
      <c r="A75" s="19" t="s">
        <v>204</v>
      </c>
      <c r="B75" s="20" t="s">
        <v>67</v>
      </c>
      <c r="C75" s="20" t="n">
        <v>2</v>
      </c>
    </row>
    <row r="76" customFormat="false" ht="15" hidden="false" customHeight="false" outlineLevel="0" collapsed="false">
      <c r="A76" s="19" t="s">
        <v>205</v>
      </c>
      <c r="B76" s="20" t="s">
        <v>62</v>
      </c>
      <c r="C76" s="20" t="n">
        <v>1</v>
      </c>
    </row>
    <row r="77" customFormat="false" ht="15" hidden="false" customHeight="false" outlineLevel="0" collapsed="false">
      <c r="A77" s="19" t="s">
        <v>206</v>
      </c>
      <c r="B77" s="20" t="s">
        <v>65</v>
      </c>
      <c r="C77" s="20" t="n">
        <v>3</v>
      </c>
    </row>
    <row r="78" customFormat="false" ht="15" hidden="false" customHeight="false" outlineLevel="0" collapsed="false">
      <c r="A78" s="19" t="s">
        <v>207</v>
      </c>
      <c r="B78" s="20" t="s">
        <v>65</v>
      </c>
      <c r="C78" s="20" t="n">
        <v>3</v>
      </c>
    </row>
    <row r="79" customFormat="false" ht="15" hidden="false" customHeight="false" outlineLevel="0" collapsed="false">
      <c r="A79" s="19" t="s">
        <v>208</v>
      </c>
      <c r="B79" s="20" t="s">
        <v>65</v>
      </c>
      <c r="C79" s="20" t="n">
        <v>3</v>
      </c>
    </row>
    <row r="80" customFormat="false" ht="15" hidden="false" customHeight="false" outlineLevel="0" collapsed="false">
      <c r="A80" s="19" t="s">
        <v>209</v>
      </c>
      <c r="B80" s="20" t="s">
        <v>65</v>
      </c>
      <c r="C80" s="20" t="n">
        <v>3</v>
      </c>
    </row>
    <row r="81" customFormat="false" ht="15" hidden="false" customHeight="false" outlineLevel="0" collapsed="false">
      <c r="A81" s="19" t="s">
        <v>210</v>
      </c>
      <c r="B81" s="20" t="s">
        <v>67</v>
      </c>
      <c r="C81" s="20" t="n">
        <v>2</v>
      </c>
    </row>
    <row r="82" customFormat="false" ht="15" hidden="false" customHeight="false" outlineLevel="0" collapsed="false">
      <c r="A82" s="19" t="s">
        <v>211</v>
      </c>
      <c r="B82" s="20" t="s">
        <v>67</v>
      </c>
      <c r="C82" s="20" t="n">
        <v>2</v>
      </c>
    </row>
    <row r="83" customFormat="false" ht="15" hidden="false" customHeight="false" outlineLevel="0" collapsed="false">
      <c r="A83" s="19" t="s">
        <v>212</v>
      </c>
      <c r="B83" s="20" t="s">
        <v>65</v>
      </c>
      <c r="C83" s="20" t="n">
        <v>3</v>
      </c>
    </row>
    <row r="84" customFormat="false" ht="15" hidden="false" customHeight="false" outlineLevel="0" collapsed="false">
      <c r="A84" s="19" t="s">
        <v>213</v>
      </c>
      <c r="B84" s="20" t="s">
        <v>67</v>
      </c>
      <c r="C84" s="20" t="n">
        <v>2</v>
      </c>
    </row>
    <row r="85" customFormat="false" ht="15" hidden="false" customHeight="false" outlineLevel="0" collapsed="false">
      <c r="A85" s="19" t="s">
        <v>214</v>
      </c>
      <c r="B85" s="20" t="s">
        <v>67</v>
      </c>
      <c r="C85" s="20" t="n">
        <v>2</v>
      </c>
    </row>
    <row r="86" customFormat="false" ht="15" hidden="false" customHeight="false" outlineLevel="0" collapsed="false">
      <c r="A86" s="19" t="s">
        <v>215</v>
      </c>
      <c r="B86" s="20" t="s">
        <v>65</v>
      </c>
      <c r="C86" s="20" t="n">
        <v>3</v>
      </c>
    </row>
    <row r="87" customFormat="false" ht="15" hidden="false" customHeight="false" outlineLevel="0" collapsed="false">
      <c r="A87" s="19" t="s">
        <v>216</v>
      </c>
      <c r="B87" s="20" t="s">
        <v>67</v>
      </c>
      <c r="C87" s="20" t="n">
        <v>2</v>
      </c>
    </row>
    <row r="88" customFormat="false" ht="15" hidden="false" customHeight="false" outlineLevel="0" collapsed="false">
      <c r="A88" s="19" t="s">
        <v>217</v>
      </c>
      <c r="B88" s="20" t="s">
        <v>65</v>
      </c>
      <c r="C88" s="20" t="n">
        <v>3</v>
      </c>
    </row>
    <row r="89" customFormat="false" ht="15" hidden="false" customHeight="false" outlineLevel="0" collapsed="false">
      <c r="A89" s="19" t="s">
        <v>218</v>
      </c>
      <c r="B89" s="20" t="s">
        <v>65</v>
      </c>
      <c r="C89" s="20" t="n">
        <v>3</v>
      </c>
    </row>
    <row r="90" customFormat="false" ht="15" hidden="false" customHeight="false" outlineLevel="0" collapsed="false">
      <c r="A90" s="19" t="s">
        <v>219</v>
      </c>
      <c r="B90" s="20" t="s">
        <v>65</v>
      </c>
      <c r="C90" s="20" t="n">
        <v>3</v>
      </c>
    </row>
    <row r="91" customFormat="false" ht="15" hidden="false" customHeight="false" outlineLevel="0" collapsed="false">
      <c r="A91" s="19" t="s">
        <v>220</v>
      </c>
      <c r="B91" s="20" t="s">
        <v>67</v>
      </c>
      <c r="C91" s="20" t="n">
        <v>2</v>
      </c>
    </row>
    <row r="92" customFormat="false" ht="15" hidden="false" customHeight="false" outlineLevel="0" collapsed="false">
      <c r="A92" s="19" t="s">
        <v>221</v>
      </c>
      <c r="B92" s="20" t="s">
        <v>67</v>
      </c>
      <c r="C92" s="20" t="n">
        <v>2</v>
      </c>
    </row>
    <row r="93" customFormat="false" ht="15" hidden="false" customHeight="false" outlineLevel="0" collapsed="false">
      <c r="A93" s="19" t="s">
        <v>222</v>
      </c>
      <c r="B93" s="20" t="s">
        <v>67</v>
      </c>
      <c r="C93" s="20" t="n">
        <v>2</v>
      </c>
    </row>
    <row r="94" customFormat="false" ht="15" hidden="false" customHeight="false" outlineLevel="0" collapsed="false">
      <c r="A94" s="19" t="s">
        <v>223</v>
      </c>
      <c r="B94" s="20" t="s">
        <v>67</v>
      </c>
      <c r="C94" s="20" t="n">
        <v>2</v>
      </c>
    </row>
    <row r="95" customFormat="false" ht="15" hidden="false" customHeight="false" outlineLevel="0" collapsed="false">
      <c r="A95" s="19" t="s">
        <v>224</v>
      </c>
      <c r="B95" s="20" t="s">
        <v>67</v>
      </c>
      <c r="C95" s="20" t="n">
        <v>2</v>
      </c>
    </row>
    <row r="96" customFormat="false" ht="15" hidden="false" customHeight="false" outlineLevel="0" collapsed="false">
      <c r="A96" s="19" t="s">
        <v>225</v>
      </c>
      <c r="B96" s="20" t="s">
        <v>62</v>
      </c>
      <c r="C96" s="20" t="n">
        <v>1</v>
      </c>
    </row>
    <row r="97" customFormat="false" ht="15" hidden="false" customHeight="false" outlineLevel="0" collapsed="false">
      <c r="A97" s="19" t="s">
        <v>226</v>
      </c>
      <c r="B97" s="20" t="s">
        <v>62</v>
      </c>
      <c r="C97" s="20" t="n">
        <v>1</v>
      </c>
    </row>
    <row r="98" customFormat="false" ht="15" hidden="false" customHeight="false" outlineLevel="0" collapsed="false">
      <c r="A98" s="19" t="s">
        <v>227</v>
      </c>
      <c r="B98" s="20" t="s">
        <v>65</v>
      </c>
      <c r="C98" s="20" t="n">
        <v>3</v>
      </c>
    </row>
    <row r="99" customFormat="false" ht="15" hidden="false" customHeight="false" outlineLevel="0" collapsed="false">
      <c r="A99" s="19" t="s">
        <v>228</v>
      </c>
      <c r="B99" s="20" t="s">
        <v>67</v>
      </c>
      <c r="C99" s="20" t="n">
        <v>2</v>
      </c>
    </row>
    <row r="100" customFormat="false" ht="15" hidden="false" customHeight="false" outlineLevel="0" collapsed="false">
      <c r="A100" s="19" t="s">
        <v>229</v>
      </c>
      <c r="B100" s="20" t="s">
        <v>65</v>
      </c>
      <c r="C100" s="20" t="n">
        <v>3</v>
      </c>
    </row>
    <row r="101" customFormat="false" ht="15" hidden="false" customHeight="false" outlineLevel="0" collapsed="false">
      <c r="A101" s="19" t="s">
        <v>230</v>
      </c>
      <c r="B101" s="20" t="s">
        <v>67</v>
      </c>
      <c r="C101" s="20" t="n">
        <v>2</v>
      </c>
    </row>
    <row r="102" customFormat="false" ht="15" hidden="false" customHeight="false" outlineLevel="0" collapsed="false">
      <c r="A102" s="19" t="s">
        <v>231</v>
      </c>
      <c r="B102" s="20" t="s">
        <v>65</v>
      </c>
      <c r="C102" s="20" t="n">
        <v>3</v>
      </c>
    </row>
    <row r="103" customFormat="false" ht="15" hidden="false" customHeight="false" outlineLevel="0" collapsed="false">
      <c r="A103" s="19" t="s">
        <v>232</v>
      </c>
      <c r="B103" s="20" t="s">
        <v>65</v>
      </c>
      <c r="C103" s="20" t="n">
        <v>3</v>
      </c>
    </row>
    <row r="104" customFormat="false" ht="15" hidden="false" customHeight="false" outlineLevel="0" collapsed="false">
      <c r="A104" s="19" t="s">
        <v>233</v>
      </c>
      <c r="B104" s="20" t="s">
        <v>67</v>
      </c>
      <c r="C104" s="20" t="n">
        <v>2</v>
      </c>
    </row>
    <row r="105" customFormat="false" ht="15" hidden="false" customHeight="false" outlineLevel="0" collapsed="false">
      <c r="A105" s="19" t="s">
        <v>234</v>
      </c>
      <c r="B105" s="20" t="s">
        <v>67</v>
      </c>
      <c r="C105" s="20" t="n">
        <v>2</v>
      </c>
    </row>
    <row r="106" customFormat="false" ht="15" hidden="false" customHeight="false" outlineLevel="0" collapsed="false">
      <c r="A106" s="19" t="s">
        <v>235</v>
      </c>
      <c r="B106" s="20" t="s">
        <v>62</v>
      </c>
      <c r="C106" s="20" t="n">
        <v>1</v>
      </c>
    </row>
    <row r="107" customFormat="false" ht="15" hidden="false" customHeight="false" outlineLevel="0" collapsed="false">
      <c r="A107" s="19" t="s">
        <v>236</v>
      </c>
      <c r="B107" s="20" t="s">
        <v>65</v>
      </c>
      <c r="C107" s="20" t="n">
        <v>3</v>
      </c>
    </row>
    <row r="108" customFormat="false" ht="15" hidden="false" customHeight="false" outlineLevel="0" collapsed="false">
      <c r="A108" s="19" t="s">
        <v>237</v>
      </c>
      <c r="B108" s="20" t="s">
        <v>62</v>
      </c>
      <c r="C108" s="20" t="n">
        <v>1</v>
      </c>
    </row>
    <row r="109" customFormat="false" ht="15" hidden="false" customHeight="false" outlineLevel="0" collapsed="false">
      <c r="A109" s="19" t="s">
        <v>238</v>
      </c>
      <c r="B109" s="20" t="s">
        <v>65</v>
      </c>
      <c r="C109" s="20" t="n">
        <v>3</v>
      </c>
    </row>
    <row r="110" customFormat="false" ht="15" hidden="false" customHeight="false" outlineLevel="0" collapsed="false">
      <c r="A110" s="19" t="s">
        <v>239</v>
      </c>
      <c r="B110" s="20" t="s">
        <v>67</v>
      </c>
      <c r="C110" s="20" t="n">
        <v>2</v>
      </c>
    </row>
    <row r="111" customFormat="false" ht="15" hidden="false" customHeight="false" outlineLevel="0" collapsed="false">
      <c r="A111" s="19" t="s">
        <v>240</v>
      </c>
      <c r="B111" s="20" t="s">
        <v>65</v>
      </c>
      <c r="C111" s="20" t="n">
        <v>3</v>
      </c>
    </row>
    <row r="112" customFormat="false" ht="15" hidden="false" customHeight="false" outlineLevel="0" collapsed="false">
      <c r="A112" s="19" t="s">
        <v>241</v>
      </c>
      <c r="B112" s="20" t="s">
        <v>62</v>
      </c>
      <c r="C112" s="20" t="n">
        <v>1</v>
      </c>
    </row>
    <row r="113" customFormat="false" ht="15" hidden="false" customHeight="false" outlineLevel="0" collapsed="false">
      <c r="A113" s="19" t="s">
        <v>242</v>
      </c>
      <c r="B113" s="20" t="s">
        <v>65</v>
      </c>
      <c r="C113" s="20" t="n">
        <v>3</v>
      </c>
    </row>
    <row r="114" customFormat="false" ht="15" hidden="false" customHeight="false" outlineLevel="0" collapsed="false">
      <c r="A114" s="19" t="s">
        <v>243</v>
      </c>
      <c r="B114" s="20" t="s">
        <v>67</v>
      </c>
      <c r="C114" s="20" t="n">
        <v>2</v>
      </c>
    </row>
    <row r="115" customFormat="false" ht="15" hidden="false" customHeight="false" outlineLevel="0" collapsed="false">
      <c r="A115" s="19" t="s">
        <v>244</v>
      </c>
      <c r="B115" s="20" t="s">
        <v>67</v>
      </c>
      <c r="C115" s="20" t="n">
        <v>2</v>
      </c>
    </row>
    <row r="116" customFormat="false" ht="15" hidden="false" customHeight="false" outlineLevel="0" collapsed="false">
      <c r="A116" s="19" t="s">
        <v>245</v>
      </c>
      <c r="B116" s="20" t="s">
        <v>67</v>
      </c>
      <c r="C116" s="20" t="n">
        <v>2</v>
      </c>
    </row>
    <row r="117" customFormat="false" ht="15" hidden="false" customHeight="false" outlineLevel="0" collapsed="false">
      <c r="A117" s="19" t="s">
        <v>246</v>
      </c>
      <c r="B117" s="20" t="s">
        <v>67</v>
      </c>
      <c r="C117" s="20" t="n">
        <v>2</v>
      </c>
    </row>
    <row r="118" customFormat="false" ht="15" hidden="false" customHeight="false" outlineLevel="0" collapsed="false">
      <c r="A118" s="19" t="s">
        <v>247</v>
      </c>
      <c r="B118" s="20" t="s">
        <v>67</v>
      </c>
      <c r="C118" s="20" t="n">
        <v>2</v>
      </c>
    </row>
    <row r="119" customFormat="false" ht="15" hidden="false" customHeight="false" outlineLevel="0" collapsed="false">
      <c r="A119" s="19" t="s">
        <v>248</v>
      </c>
      <c r="B119" s="20" t="s">
        <v>62</v>
      </c>
      <c r="C119" s="20" t="n">
        <v>1</v>
      </c>
    </row>
    <row r="120" customFormat="false" ht="15" hidden="false" customHeight="false" outlineLevel="0" collapsed="false">
      <c r="A120" s="19" t="s">
        <v>249</v>
      </c>
      <c r="B120" s="20" t="s">
        <v>65</v>
      </c>
      <c r="C120" s="20" t="n">
        <v>3</v>
      </c>
    </row>
    <row r="121" customFormat="false" ht="15" hidden="false" customHeight="false" outlineLevel="0" collapsed="false">
      <c r="A121" s="19" t="s">
        <v>250</v>
      </c>
      <c r="B121" s="20" t="s">
        <v>65</v>
      </c>
      <c r="C121" s="20" t="n">
        <v>3</v>
      </c>
    </row>
    <row r="122" customFormat="false" ht="15" hidden="false" customHeight="false" outlineLevel="0" collapsed="false">
      <c r="A122" s="19" t="s">
        <v>251</v>
      </c>
      <c r="B122" s="20" t="s">
        <v>65</v>
      </c>
      <c r="C122" s="20" t="n">
        <v>3</v>
      </c>
    </row>
    <row r="123" customFormat="false" ht="15" hidden="false" customHeight="false" outlineLevel="0" collapsed="false">
      <c r="A123" s="19" t="s">
        <v>252</v>
      </c>
      <c r="B123" s="20" t="s">
        <v>67</v>
      </c>
      <c r="C123" s="20" t="n">
        <v>2</v>
      </c>
    </row>
    <row r="124" customFormat="false" ht="15" hidden="false" customHeight="false" outlineLevel="0" collapsed="false">
      <c r="A124" s="19" t="s">
        <v>253</v>
      </c>
      <c r="B124" s="20" t="s">
        <v>62</v>
      </c>
      <c r="C124" s="20" t="n">
        <v>1</v>
      </c>
    </row>
    <row r="125" customFormat="false" ht="15" hidden="false" customHeight="false" outlineLevel="0" collapsed="false">
      <c r="A125" s="19" t="s">
        <v>254</v>
      </c>
      <c r="B125" s="20" t="s">
        <v>62</v>
      </c>
      <c r="C125" s="20" t="n">
        <v>1</v>
      </c>
    </row>
    <row r="126" customFormat="false" ht="15" hidden="false" customHeight="false" outlineLevel="0" collapsed="false">
      <c r="A126" s="19" t="s">
        <v>255</v>
      </c>
      <c r="B126" s="20" t="s">
        <v>65</v>
      </c>
      <c r="C126" s="20" t="n">
        <v>3</v>
      </c>
    </row>
    <row r="127" customFormat="false" ht="15" hidden="false" customHeight="false" outlineLevel="0" collapsed="false">
      <c r="A127" s="19" t="s">
        <v>256</v>
      </c>
      <c r="B127" s="20" t="s">
        <v>65</v>
      </c>
      <c r="C127" s="20" t="n">
        <v>3</v>
      </c>
    </row>
    <row r="128" customFormat="false" ht="15" hidden="false" customHeight="false" outlineLevel="0" collapsed="false">
      <c r="A128" s="19" t="s">
        <v>257</v>
      </c>
      <c r="B128" s="20" t="s">
        <v>65</v>
      </c>
      <c r="C128" s="20" t="n">
        <v>3</v>
      </c>
    </row>
    <row r="129" customFormat="false" ht="15" hidden="false" customHeight="false" outlineLevel="0" collapsed="false">
      <c r="A129" s="19" t="s">
        <v>258</v>
      </c>
      <c r="B129" s="20" t="s">
        <v>65</v>
      </c>
      <c r="C129" s="20" t="n">
        <v>3</v>
      </c>
    </row>
    <row r="131" customFormat="false" ht="15" hidden="false" customHeight="false" outlineLevel="0" collapsed="false">
      <c r="A131" s="10" t="s">
        <v>259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J3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86" min="2" style="0" width="9"/>
    <col collapsed="false" customWidth="true" hidden="false" outlineLevel="0" max="88" min="88" style="0" width="14"/>
  </cols>
  <sheetData>
    <row r="1" customFormat="false" ht="17.35" hidden="false" customHeight="false" outlineLevel="0" collapsed="false">
      <c r="A1" s="1" t="s">
        <v>260</v>
      </c>
      <c r="B1" s="21" t="n">
        <f aca="false">IF(B$3="",0,IFERROR(INDEX('OCRMS Risk Map'!$C:$C,MATCH(B$3,'OCRMS Risk Map'!$A:$A,0)),0))</f>
        <v>0</v>
      </c>
      <c r="C1" s="21" t="n">
        <f aca="false">IF(C$3="",0,IFERROR(INDEX('OCRMS Risk Map'!$C:$C,MATCH(C$3,'OCRMS Risk Map'!$A:$A,0)),0))</f>
        <v>0</v>
      </c>
      <c r="D1" s="21" t="n">
        <f aca="false">IF(D$3="",0,IFERROR(INDEX('OCRMS Risk Map'!$C:$C,MATCH(D$3,'OCRMS Risk Map'!$A:$A,0)),0))</f>
        <v>0</v>
      </c>
      <c r="E1" s="21" t="n">
        <f aca="false">IF(E$3="",0,IFERROR(INDEX('OCRMS Risk Map'!$C:$C,MATCH(E$3,'OCRMS Risk Map'!$A:$A,0)),0))</f>
        <v>0</v>
      </c>
      <c r="F1" s="21" t="n">
        <f aca="false">IF(F$3="",0,IFERROR(INDEX('OCRMS Risk Map'!$C:$C,MATCH(F$3,'OCRMS Risk Map'!$A:$A,0)),0))</f>
        <v>0</v>
      </c>
      <c r="G1" s="21" t="n">
        <f aca="false">IF(G$3="",0,IFERROR(INDEX('OCRMS Risk Map'!$C:$C,MATCH(G$3,'OCRMS Risk Map'!$A:$A,0)),0))</f>
        <v>0</v>
      </c>
      <c r="H1" s="21" t="n">
        <f aca="false">IF(H$3="",0,IFERROR(INDEX('OCRMS Risk Map'!$C:$C,MATCH(H$3,'OCRMS Risk Map'!$A:$A,0)),0))</f>
        <v>0</v>
      </c>
      <c r="I1" s="21" t="n">
        <f aca="false">IF(I$3="",0,IFERROR(INDEX('OCRMS Risk Map'!$C:$C,MATCH(I$3,'OCRMS Risk Map'!$A:$A,0)),0))</f>
        <v>0</v>
      </c>
      <c r="J1" s="21" t="n">
        <f aca="false">IF(J$3="",0,IFERROR(INDEX('OCRMS Risk Map'!$C:$C,MATCH(J$3,'OCRMS Risk Map'!$A:$A,0)),0))</f>
        <v>0</v>
      </c>
      <c r="K1" s="21" t="n">
        <f aca="false">IF(K$3="",0,IFERROR(INDEX('OCRMS Risk Map'!$C:$C,MATCH(K$3,'OCRMS Risk Map'!$A:$A,0)),0))</f>
        <v>0</v>
      </c>
      <c r="L1" s="21" t="n">
        <f aca="false">IF(L$3="",0,IFERROR(INDEX('OCRMS Risk Map'!$C:$C,MATCH(L$3,'OCRMS Risk Map'!$A:$A,0)),0))</f>
        <v>0</v>
      </c>
      <c r="M1" s="21" t="n">
        <f aca="false">IF(M$3="",0,IFERROR(INDEX('OCRMS Risk Map'!$C:$C,MATCH(M$3,'OCRMS Risk Map'!$A:$A,0)),0))</f>
        <v>0</v>
      </c>
      <c r="N1" s="21" t="n">
        <f aca="false">IF(N$3="",0,IFERROR(INDEX('OCRMS Risk Map'!$C:$C,MATCH(N$3,'OCRMS Risk Map'!$A:$A,0)),0))</f>
        <v>0</v>
      </c>
      <c r="O1" s="21" t="n">
        <f aca="false">IF(O$3="",0,IFERROR(INDEX('OCRMS Risk Map'!$C:$C,MATCH(O$3,'OCRMS Risk Map'!$A:$A,0)),0))</f>
        <v>0</v>
      </c>
      <c r="P1" s="21" t="n">
        <f aca="false">IF(P$3="",0,IFERROR(INDEX('OCRMS Risk Map'!$C:$C,MATCH(P$3,'OCRMS Risk Map'!$A:$A,0)),0))</f>
        <v>0</v>
      </c>
      <c r="Q1" s="21" t="n">
        <f aca="false">IF(Q$3="",0,IFERROR(INDEX('OCRMS Risk Map'!$C:$C,MATCH(Q$3,'OCRMS Risk Map'!$A:$A,0)),0))</f>
        <v>0</v>
      </c>
      <c r="R1" s="21" t="n">
        <f aca="false">IF(R$3="",0,IFERROR(INDEX('OCRMS Risk Map'!$C:$C,MATCH(R$3,'OCRMS Risk Map'!$A:$A,0)),0))</f>
        <v>0</v>
      </c>
      <c r="S1" s="21" t="n">
        <f aca="false">IF(S$3="",0,IFERROR(INDEX('OCRMS Risk Map'!$C:$C,MATCH(S$3,'OCRMS Risk Map'!$A:$A,0)),0))</f>
        <v>0</v>
      </c>
      <c r="T1" s="21" t="n">
        <f aca="false">IF(T$3="",0,IFERROR(INDEX('OCRMS Risk Map'!$C:$C,MATCH(T$3,'OCRMS Risk Map'!$A:$A,0)),0))</f>
        <v>0</v>
      </c>
      <c r="U1" s="21" t="n">
        <f aca="false">IF(U$3="",0,IFERROR(INDEX('OCRMS Risk Map'!$C:$C,MATCH(U$3,'OCRMS Risk Map'!$A:$A,0)),0))</f>
        <v>0</v>
      </c>
      <c r="V1" s="21" t="n">
        <f aca="false">IF(V$3="",0,IFERROR(INDEX('OCRMS Risk Map'!$C:$C,MATCH(V$3,'OCRMS Risk Map'!$A:$A,0)),0))</f>
        <v>0</v>
      </c>
      <c r="W1" s="21" t="n">
        <f aca="false">IF(W$3="",0,IFERROR(INDEX('OCRMS Risk Map'!$C:$C,MATCH(W$3,'OCRMS Risk Map'!$A:$A,0)),0))</f>
        <v>0</v>
      </c>
      <c r="X1" s="21" t="n">
        <f aca="false">IF(X$3="",0,IFERROR(INDEX('OCRMS Risk Map'!$C:$C,MATCH(X$3,'OCRMS Risk Map'!$A:$A,0)),0))</f>
        <v>0</v>
      </c>
      <c r="Y1" s="21" t="n">
        <f aca="false">IF(Y$3="",0,IFERROR(INDEX('OCRMS Risk Map'!$C:$C,MATCH(Y$3,'OCRMS Risk Map'!$A:$A,0)),0))</f>
        <v>0</v>
      </c>
      <c r="Z1" s="21" t="n">
        <f aca="false">IF(Z$3="",0,IFERROR(INDEX('OCRMS Risk Map'!$C:$C,MATCH(Z$3,'OCRMS Risk Map'!$A:$A,0)),0))</f>
        <v>0</v>
      </c>
      <c r="AA1" s="21" t="n">
        <f aca="false">IF(AA$3="",0,IFERROR(INDEX('OCRMS Risk Map'!$C:$C,MATCH(AA$3,'OCRMS Risk Map'!$A:$A,0)),0))</f>
        <v>0</v>
      </c>
      <c r="AB1" s="21" t="n">
        <f aca="false">IF(AB$3="",0,IFERROR(INDEX('OCRMS Risk Map'!$C:$C,MATCH(AB$3,'OCRMS Risk Map'!$A:$A,0)),0))</f>
        <v>0</v>
      </c>
      <c r="AC1" s="21" t="n">
        <f aca="false">IF(AC$3="",0,IFERROR(INDEX('OCRMS Risk Map'!$C:$C,MATCH(AC$3,'OCRMS Risk Map'!$A:$A,0)),0))</f>
        <v>0</v>
      </c>
      <c r="AD1" s="21" t="n">
        <f aca="false">IF(AD$3="",0,IFERROR(INDEX('OCRMS Risk Map'!$C:$C,MATCH(AD$3,'OCRMS Risk Map'!$A:$A,0)),0))</f>
        <v>0</v>
      </c>
      <c r="AE1" s="21" t="n">
        <f aca="false">IF(AE$3="",0,IFERROR(INDEX('OCRMS Risk Map'!$C:$C,MATCH(AE$3,'OCRMS Risk Map'!$A:$A,0)),0))</f>
        <v>0</v>
      </c>
      <c r="AF1" s="21" t="n">
        <f aca="false">IF(AF$3="",0,IFERROR(INDEX('OCRMS Risk Map'!$C:$C,MATCH(AF$3,'OCRMS Risk Map'!$A:$A,0)),0))</f>
        <v>0</v>
      </c>
      <c r="AG1" s="21" t="n">
        <f aca="false">IF(AG$3="",0,IFERROR(INDEX('OCRMS Risk Map'!$C:$C,MATCH(AG$3,'OCRMS Risk Map'!$A:$A,0)),0))</f>
        <v>0</v>
      </c>
      <c r="AH1" s="21" t="n">
        <f aca="false">IF(AH$3="",0,IFERROR(INDEX('OCRMS Risk Map'!$C:$C,MATCH(AH$3,'OCRMS Risk Map'!$A:$A,0)),0))</f>
        <v>0</v>
      </c>
      <c r="AI1" s="21" t="n">
        <f aca="false">IF(AI$3="",0,IFERROR(INDEX('OCRMS Risk Map'!$C:$C,MATCH(AI$3,'OCRMS Risk Map'!$A:$A,0)),0))</f>
        <v>0</v>
      </c>
      <c r="AJ1" s="21" t="n">
        <f aca="false">IF(AJ$3="",0,IFERROR(INDEX('OCRMS Risk Map'!$C:$C,MATCH(AJ$3,'OCRMS Risk Map'!$A:$A,0)),0))</f>
        <v>0</v>
      </c>
      <c r="AK1" s="21" t="n">
        <f aca="false">IF(AK$3="",0,IFERROR(INDEX('OCRMS Risk Map'!$C:$C,MATCH(AK$3,'OCRMS Risk Map'!$A:$A,0)),0))</f>
        <v>0</v>
      </c>
      <c r="AL1" s="21" t="n">
        <f aca="false">IF(AL$3="",0,IFERROR(INDEX('OCRMS Risk Map'!$C:$C,MATCH(AL$3,'OCRMS Risk Map'!$A:$A,0)),0))</f>
        <v>0</v>
      </c>
      <c r="AM1" s="21" t="n">
        <f aca="false">IF(AM$3="",0,IFERROR(INDEX('OCRMS Risk Map'!$C:$C,MATCH(AM$3,'OCRMS Risk Map'!$A:$A,0)),0))</f>
        <v>0</v>
      </c>
      <c r="AN1" s="21" t="n">
        <f aca="false">IF(AN$3="",0,IFERROR(INDEX('OCRMS Risk Map'!$C:$C,MATCH(AN$3,'OCRMS Risk Map'!$A:$A,0)),0))</f>
        <v>0</v>
      </c>
      <c r="AO1" s="21" t="n">
        <f aca="false">IF(AO$3="",0,IFERROR(INDEX('OCRMS Risk Map'!$C:$C,MATCH(AO$3,'OCRMS Risk Map'!$A:$A,0)),0))</f>
        <v>0</v>
      </c>
      <c r="AP1" s="21" t="n">
        <f aca="false">IF(AP$3="",0,IFERROR(INDEX('OCRMS Risk Map'!$C:$C,MATCH(AP$3,'OCRMS Risk Map'!$A:$A,0)),0))</f>
        <v>0</v>
      </c>
      <c r="AQ1" s="21" t="n">
        <f aca="false">IF(AQ$3="",0,IFERROR(INDEX('OCRMS Risk Map'!$C:$C,MATCH(AQ$3,'OCRMS Risk Map'!$A:$A,0)),0))</f>
        <v>0</v>
      </c>
      <c r="AR1" s="21" t="n">
        <f aca="false">IF(AR$3="",0,IFERROR(INDEX('OCRMS Risk Map'!$C:$C,MATCH(AR$3,'OCRMS Risk Map'!$A:$A,0)),0))</f>
        <v>0</v>
      </c>
      <c r="AS1" s="21" t="n">
        <f aca="false">IF(AS$3="",0,IFERROR(INDEX('OCRMS Risk Map'!$C:$C,MATCH(AS$3,'OCRMS Risk Map'!$A:$A,0)),0))</f>
        <v>0</v>
      </c>
      <c r="AT1" s="21" t="n">
        <f aca="false">IF(AT$3="",0,IFERROR(INDEX('OCRMS Risk Map'!$C:$C,MATCH(AT$3,'OCRMS Risk Map'!$A:$A,0)),0))</f>
        <v>0</v>
      </c>
      <c r="AU1" s="21" t="n">
        <f aca="false">IF(AU$3="",0,IFERROR(INDEX('OCRMS Risk Map'!$C:$C,MATCH(AU$3,'OCRMS Risk Map'!$A:$A,0)),0))</f>
        <v>0</v>
      </c>
      <c r="AV1" s="21" t="n">
        <f aca="false">IF(AV$3="",0,IFERROR(INDEX('OCRMS Risk Map'!$C:$C,MATCH(AV$3,'OCRMS Risk Map'!$A:$A,0)),0))</f>
        <v>0</v>
      </c>
      <c r="AW1" s="21" t="n">
        <f aca="false">IF(AW$3="",0,IFERROR(INDEX('OCRMS Risk Map'!$C:$C,MATCH(AW$3,'OCRMS Risk Map'!$A:$A,0)),0))</f>
        <v>0</v>
      </c>
      <c r="AX1" s="21" t="n">
        <f aca="false">IF(AX$3="",0,IFERROR(INDEX('OCRMS Risk Map'!$C:$C,MATCH(AX$3,'OCRMS Risk Map'!$A:$A,0)),0))</f>
        <v>0</v>
      </c>
      <c r="AY1" s="21" t="n">
        <f aca="false">IF(AY$3="",0,IFERROR(INDEX('OCRMS Risk Map'!$C:$C,MATCH(AY$3,'OCRMS Risk Map'!$A:$A,0)),0))</f>
        <v>0</v>
      </c>
      <c r="AZ1" s="21" t="n">
        <f aca="false">IF(AZ$3="",0,IFERROR(INDEX('OCRMS Risk Map'!$C:$C,MATCH(AZ$3,'OCRMS Risk Map'!$A:$A,0)),0))</f>
        <v>0</v>
      </c>
      <c r="BA1" s="21" t="n">
        <f aca="false">IF(BA$3="",0,IFERROR(INDEX('OCRMS Risk Map'!$C:$C,MATCH(BA$3,'OCRMS Risk Map'!$A:$A,0)),0))</f>
        <v>0</v>
      </c>
      <c r="BB1" s="21" t="n">
        <f aca="false">IF(BB$3="",0,IFERROR(INDEX('OCRMS Risk Map'!$C:$C,MATCH(BB$3,'OCRMS Risk Map'!$A:$A,0)),0))</f>
        <v>0</v>
      </c>
      <c r="BC1" s="21" t="n">
        <f aca="false">IF(BC$3="",0,IFERROR(INDEX('OCRMS Risk Map'!$C:$C,MATCH(BC$3,'OCRMS Risk Map'!$A:$A,0)),0))</f>
        <v>0</v>
      </c>
      <c r="BD1" s="21" t="n">
        <f aca="false">IF(BD$3="",0,IFERROR(INDEX('OCRMS Risk Map'!$C:$C,MATCH(BD$3,'OCRMS Risk Map'!$A:$A,0)),0))</f>
        <v>0</v>
      </c>
      <c r="BE1" s="21" t="n">
        <f aca="false">IF(BE$3="",0,IFERROR(INDEX('OCRMS Risk Map'!$C:$C,MATCH(BE$3,'OCRMS Risk Map'!$A:$A,0)),0))</f>
        <v>0</v>
      </c>
      <c r="BF1" s="21" t="n">
        <f aca="false">IF(BF$3="",0,IFERROR(INDEX('OCRMS Risk Map'!$C:$C,MATCH(BF$3,'OCRMS Risk Map'!$A:$A,0)),0))</f>
        <v>0</v>
      </c>
      <c r="BG1" s="21" t="n">
        <f aca="false">IF(BG$3="",0,IFERROR(INDEX('OCRMS Risk Map'!$C:$C,MATCH(BG$3,'OCRMS Risk Map'!$A:$A,0)),0))</f>
        <v>0</v>
      </c>
      <c r="BH1" s="21" t="n">
        <f aca="false">IF(BH$3="",0,IFERROR(INDEX('OCRMS Risk Map'!$C:$C,MATCH(BH$3,'OCRMS Risk Map'!$A:$A,0)),0))</f>
        <v>0</v>
      </c>
      <c r="BI1" s="21" t="n">
        <f aca="false">IF(BI$3="",0,IFERROR(INDEX('OCRMS Risk Map'!$C:$C,MATCH(BI$3,'OCRMS Risk Map'!$A:$A,0)),0))</f>
        <v>0</v>
      </c>
      <c r="BJ1" s="21" t="n">
        <f aca="false">IF(BJ$3="",0,IFERROR(INDEX('OCRMS Risk Map'!$C:$C,MATCH(BJ$3,'OCRMS Risk Map'!$A:$A,0)),0))</f>
        <v>0</v>
      </c>
      <c r="BK1" s="21" t="n">
        <f aca="false">IF(BK$3="",0,IFERROR(INDEX('OCRMS Risk Map'!$C:$C,MATCH(BK$3,'OCRMS Risk Map'!$A:$A,0)),0))</f>
        <v>0</v>
      </c>
      <c r="BL1" s="21" t="n">
        <f aca="false">IF(BL$3="",0,IFERROR(INDEX('OCRMS Risk Map'!$C:$C,MATCH(BL$3,'OCRMS Risk Map'!$A:$A,0)),0))</f>
        <v>0</v>
      </c>
      <c r="BM1" s="21" t="n">
        <f aca="false">IF(BM$3="",0,IFERROR(INDEX('OCRMS Risk Map'!$C:$C,MATCH(BM$3,'OCRMS Risk Map'!$A:$A,0)),0))</f>
        <v>0</v>
      </c>
      <c r="BN1" s="21" t="n">
        <f aca="false">IF(BN$3="",0,IFERROR(INDEX('OCRMS Risk Map'!$C:$C,MATCH(BN$3,'OCRMS Risk Map'!$A:$A,0)),0))</f>
        <v>0</v>
      </c>
      <c r="BO1" s="21" t="n">
        <f aca="false">IF(BO$3="",0,IFERROR(INDEX('OCRMS Risk Map'!$C:$C,MATCH(BO$3,'OCRMS Risk Map'!$A:$A,0)),0))</f>
        <v>0</v>
      </c>
      <c r="BP1" s="21" t="n">
        <f aca="false">IF(BP$3="",0,IFERROR(INDEX('OCRMS Risk Map'!$C:$C,MATCH(BP$3,'OCRMS Risk Map'!$A:$A,0)),0))</f>
        <v>0</v>
      </c>
      <c r="BQ1" s="21" t="n">
        <f aca="false">IF(BQ$3="",0,IFERROR(INDEX('OCRMS Risk Map'!$C:$C,MATCH(BQ$3,'OCRMS Risk Map'!$A:$A,0)),0))</f>
        <v>0</v>
      </c>
      <c r="BR1" s="21" t="n">
        <f aca="false">IF(BR$3="",0,IFERROR(INDEX('OCRMS Risk Map'!$C:$C,MATCH(BR$3,'OCRMS Risk Map'!$A:$A,0)),0))</f>
        <v>0</v>
      </c>
      <c r="BS1" s="21" t="n">
        <f aca="false">IF(BS$3="",0,IFERROR(INDEX('OCRMS Risk Map'!$C:$C,MATCH(BS$3,'OCRMS Risk Map'!$A:$A,0)),0))</f>
        <v>0</v>
      </c>
      <c r="BT1" s="21" t="n">
        <f aca="false">IF(BT$3="",0,IFERROR(INDEX('OCRMS Risk Map'!$C:$C,MATCH(BT$3,'OCRMS Risk Map'!$A:$A,0)),0))</f>
        <v>0</v>
      </c>
      <c r="BU1" s="21" t="n">
        <f aca="false">IF(BU$3="",0,IFERROR(INDEX('OCRMS Risk Map'!$C:$C,MATCH(BU$3,'OCRMS Risk Map'!$A:$A,0)),0))</f>
        <v>0</v>
      </c>
      <c r="BV1" s="21" t="n">
        <f aca="false">IF(BV$3="",0,IFERROR(INDEX('OCRMS Risk Map'!$C:$C,MATCH(BV$3,'OCRMS Risk Map'!$A:$A,0)),0))</f>
        <v>0</v>
      </c>
      <c r="BW1" s="21" t="n">
        <f aca="false">IF(BW$3="",0,IFERROR(INDEX('OCRMS Risk Map'!$C:$C,MATCH(BW$3,'OCRMS Risk Map'!$A:$A,0)),0))</f>
        <v>0</v>
      </c>
      <c r="BX1" s="21" t="n">
        <f aca="false">IF(BX$3="",0,IFERROR(INDEX('OCRMS Risk Map'!$C:$C,MATCH(BX$3,'OCRMS Risk Map'!$A:$A,0)),0))</f>
        <v>0</v>
      </c>
      <c r="BY1" s="21" t="n">
        <f aca="false">IF(BY$3="",0,IFERROR(INDEX('OCRMS Risk Map'!$C:$C,MATCH(BY$3,'OCRMS Risk Map'!$A:$A,0)),0))</f>
        <v>0</v>
      </c>
      <c r="BZ1" s="21" t="n">
        <f aca="false">IF(BZ$3="",0,IFERROR(INDEX('OCRMS Risk Map'!$C:$C,MATCH(BZ$3,'OCRMS Risk Map'!$A:$A,0)),0))</f>
        <v>0</v>
      </c>
      <c r="CA1" s="21" t="n">
        <f aca="false">IF(CA$3="",0,IFERROR(INDEX('OCRMS Risk Map'!$C:$C,MATCH(CA$3,'OCRMS Risk Map'!$A:$A,0)),0))</f>
        <v>0</v>
      </c>
      <c r="CB1" s="21" t="n">
        <f aca="false">IF(CB$3="",0,IFERROR(INDEX('OCRMS Risk Map'!$C:$C,MATCH(CB$3,'OCRMS Risk Map'!$A:$A,0)),0))</f>
        <v>0</v>
      </c>
      <c r="CC1" s="21" t="n">
        <f aca="false">IF(CC$3="",0,IFERROR(INDEX('OCRMS Risk Map'!$C:$C,MATCH(CC$3,'OCRMS Risk Map'!$A:$A,0)),0))</f>
        <v>0</v>
      </c>
      <c r="CD1" s="21" t="n">
        <f aca="false">IF(CD$3="",0,IFERROR(INDEX('OCRMS Risk Map'!$C:$C,MATCH(CD$3,'OCRMS Risk Map'!$A:$A,0)),0))</f>
        <v>0</v>
      </c>
      <c r="CE1" s="21" t="n">
        <f aca="false">IF(CE$3="",0,IFERROR(INDEX('OCRMS Risk Map'!$C:$C,MATCH(CE$3,'OCRMS Risk Map'!$A:$A,0)),0))</f>
        <v>0</v>
      </c>
      <c r="CF1" s="21" t="n">
        <f aca="false">IF(CF$3="",0,IFERROR(INDEX('OCRMS Risk Map'!$C:$C,MATCH(CF$3,'OCRMS Risk Map'!$A:$A,0)),0))</f>
        <v>0</v>
      </c>
      <c r="CG1" s="21" t="n">
        <f aca="false">IF(CG$3="",0,IFERROR(INDEX('OCRMS Risk Map'!$C:$C,MATCH(CG$3,'OCRMS Risk Map'!$A:$A,0)),0))</f>
        <v>0</v>
      </c>
      <c r="CH1" s="21" t="n">
        <f aca="false">IF(CH$3="",0,IFERROR(INDEX('OCRMS Risk Map'!$C:$C,MATCH(CH$3,'OCRMS Risk Map'!$A:$A,0)),0))</f>
        <v>0</v>
      </c>
    </row>
    <row r="2" customFormat="false" ht="39.75" hidden="false" customHeight="true" outlineLevel="0" collapsed="false">
      <c r="A2" s="5" t="s">
        <v>261</v>
      </c>
      <c r="B2" s="21" t="str">
        <f aca="false">IF(B$3="","",IFERROR(INDEX('OCRMS Risk Map'!$B:$B,MATCH(B$3,'OCRMS Risk Map'!$A:$A,0)),""))</f>
        <v/>
      </c>
      <c r="C2" s="21" t="str">
        <f aca="false">IF(C$3="","",IFERROR(INDEX('OCRMS Risk Map'!$B:$B,MATCH(C$3,'OCRMS Risk Map'!$A:$A,0)),""))</f>
        <v/>
      </c>
      <c r="D2" s="21" t="str">
        <f aca="false">IF(D$3="","",IFERROR(INDEX('OCRMS Risk Map'!$B:$B,MATCH(D$3,'OCRMS Risk Map'!$A:$A,0)),""))</f>
        <v/>
      </c>
      <c r="E2" s="21" t="str">
        <f aca="false">IF(E$3="","",IFERROR(INDEX('OCRMS Risk Map'!$B:$B,MATCH(E$3,'OCRMS Risk Map'!$A:$A,0)),""))</f>
        <v/>
      </c>
      <c r="F2" s="21" t="str">
        <f aca="false">IF(F$3="","",IFERROR(INDEX('OCRMS Risk Map'!$B:$B,MATCH(F$3,'OCRMS Risk Map'!$A:$A,0)),""))</f>
        <v/>
      </c>
      <c r="G2" s="21" t="str">
        <f aca="false">IF(G$3="","",IFERROR(INDEX('OCRMS Risk Map'!$B:$B,MATCH(G$3,'OCRMS Risk Map'!$A:$A,0)),""))</f>
        <v/>
      </c>
      <c r="H2" s="21" t="str">
        <f aca="false">IF(H$3="","",IFERROR(INDEX('OCRMS Risk Map'!$B:$B,MATCH(H$3,'OCRMS Risk Map'!$A:$A,0)),""))</f>
        <v/>
      </c>
      <c r="I2" s="21" t="str">
        <f aca="false">IF(I$3="","",IFERROR(INDEX('OCRMS Risk Map'!$B:$B,MATCH(I$3,'OCRMS Risk Map'!$A:$A,0)),""))</f>
        <v/>
      </c>
      <c r="J2" s="21" t="str">
        <f aca="false">IF(J$3="","",IFERROR(INDEX('OCRMS Risk Map'!$B:$B,MATCH(J$3,'OCRMS Risk Map'!$A:$A,0)),""))</f>
        <v/>
      </c>
      <c r="K2" s="21" t="str">
        <f aca="false">IF(K$3="","",IFERROR(INDEX('OCRMS Risk Map'!$B:$B,MATCH(K$3,'OCRMS Risk Map'!$A:$A,0)),""))</f>
        <v/>
      </c>
      <c r="L2" s="21" t="str">
        <f aca="false">IF(L$3="","",IFERROR(INDEX('OCRMS Risk Map'!$B:$B,MATCH(L$3,'OCRMS Risk Map'!$A:$A,0)),""))</f>
        <v/>
      </c>
      <c r="M2" s="21" t="str">
        <f aca="false">IF(M$3="","",IFERROR(INDEX('OCRMS Risk Map'!$B:$B,MATCH(M$3,'OCRMS Risk Map'!$A:$A,0)),""))</f>
        <v/>
      </c>
      <c r="N2" s="21" t="str">
        <f aca="false">IF(N$3="","",IFERROR(INDEX('OCRMS Risk Map'!$B:$B,MATCH(N$3,'OCRMS Risk Map'!$A:$A,0)),""))</f>
        <v/>
      </c>
      <c r="O2" s="21" t="str">
        <f aca="false">IF(O$3="","",IFERROR(INDEX('OCRMS Risk Map'!$B:$B,MATCH(O$3,'OCRMS Risk Map'!$A:$A,0)),""))</f>
        <v/>
      </c>
      <c r="P2" s="21" t="str">
        <f aca="false">IF(P$3="","",IFERROR(INDEX('OCRMS Risk Map'!$B:$B,MATCH(P$3,'OCRMS Risk Map'!$A:$A,0)),""))</f>
        <v/>
      </c>
      <c r="Q2" s="21" t="str">
        <f aca="false">IF(Q$3="","",IFERROR(INDEX('OCRMS Risk Map'!$B:$B,MATCH(Q$3,'OCRMS Risk Map'!$A:$A,0)),""))</f>
        <v/>
      </c>
      <c r="R2" s="21" t="str">
        <f aca="false">IF(R$3="","",IFERROR(INDEX('OCRMS Risk Map'!$B:$B,MATCH(R$3,'OCRMS Risk Map'!$A:$A,0)),""))</f>
        <v/>
      </c>
      <c r="S2" s="21" t="str">
        <f aca="false">IF(S$3="","",IFERROR(INDEX('OCRMS Risk Map'!$B:$B,MATCH(S$3,'OCRMS Risk Map'!$A:$A,0)),""))</f>
        <v/>
      </c>
      <c r="T2" s="21" t="str">
        <f aca="false">IF(T$3="","",IFERROR(INDEX('OCRMS Risk Map'!$B:$B,MATCH(T$3,'OCRMS Risk Map'!$A:$A,0)),""))</f>
        <v/>
      </c>
      <c r="U2" s="21" t="str">
        <f aca="false">IF(U$3="","",IFERROR(INDEX('OCRMS Risk Map'!$B:$B,MATCH(U$3,'OCRMS Risk Map'!$A:$A,0)),""))</f>
        <v/>
      </c>
      <c r="V2" s="21" t="str">
        <f aca="false">IF(V$3="","",IFERROR(INDEX('OCRMS Risk Map'!$B:$B,MATCH(V$3,'OCRMS Risk Map'!$A:$A,0)),""))</f>
        <v/>
      </c>
      <c r="W2" s="21" t="str">
        <f aca="false">IF(W$3="","",IFERROR(INDEX('OCRMS Risk Map'!$B:$B,MATCH(W$3,'OCRMS Risk Map'!$A:$A,0)),""))</f>
        <v/>
      </c>
      <c r="X2" s="21" t="str">
        <f aca="false">IF(X$3="","",IFERROR(INDEX('OCRMS Risk Map'!$B:$B,MATCH(X$3,'OCRMS Risk Map'!$A:$A,0)),""))</f>
        <v/>
      </c>
      <c r="Y2" s="21" t="str">
        <f aca="false">IF(Y$3="","",IFERROR(INDEX('OCRMS Risk Map'!$B:$B,MATCH(Y$3,'OCRMS Risk Map'!$A:$A,0)),""))</f>
        <v/>
      </c>
      <c r="Z2" s="21" t="str">
        <f aca="false">IF(Z$3="","",IFERROR(INDEX('OCRMS Risk Map'!$B:$B,MATCH(Z$3,'OCRMS Risk Map'!$A:$A,0)),""))</f>
        <v/>
      </c>
      <c r="AA2" s="21" t="str">
        <f aca="false">IF(AA$3="","",IFERROR(INDEX('OCRMS Risk Map'!$B:$B,MATCH(AA$3,'OCRMS Risk Map'!$A:$A,0)),""))</f>
        <v/>
      </c>
      <c r="AB2" s="21" t="str">
        <f aca="false">IF(AB$3="","",IFERROR(INDEX('OCRMS Risk Map'!$B:$B,MATCH(AB$3,'OCRMS Risk Map'!$A:$A,0)),""))</f>
        <v/>
      </c>
      <c r="AC2" s="21" t="str">
        <f aca="false">IF(AC$3="","",IFERROR(INDEX('OCRMS Risk Map'!$B:$B,MATCH(AC$3,'OCRMS Risk Map'!$A:$A,0)),""))</f>
        <v/>
      </c>
      <c r="AD2" s="21" t="str">
        <f aca="false">IF(AD$3="","",IFERROR(INDEX('OCRMS Risk Map'!$B:$B,MATCH(AD$3,'OCRMS Risk Map'!$A:$A,0)),""))</f>
        <v/>
      </c>
      <c r="AE2" s="21" t="str">
        <f aca="false">IF(AE$3="","",IFERROR(INDEX('OCRMS Risk Map'!$B:$B,MATCH(AE$3,'OCRMS Risk Map'!$A:$A,0)),""))</f>
        <v/>
      </c>
      <c r="AF2" s="21" t="str">
        <f aca="false">IF(AF$3="","",IFERROR(INDEX('OCRMS Risk Map'!$B:$B,MATCH(AF$3,'OCRMS Risk Map'!$A:$A,0)),""))</f>
        <v/>
      </c>
      <c r="AG2" s="21" t="str">
        <f aca="false">IF(AG$3="","",IFERROR(INDEX('OCRMS Risk Map'!$B:$B,MATCH(AG$3,'OCRMS Risk Map'!$A:$A,0)),""))</f>
        <v/>
      </c>
      <c r="AH2" s="21" t="str">
        <f aca="false">IF(AH$3="","",IFERROR(INDEX('OCRMS Risk Map'!$B:$B,MATCH(AH$3,'OCRMS Risk Map'!$A:$A,0)),""))</f>
        <v/>
      </c>
      <c r="AI2" s="21" t="str">
        <f aca="false">IF(AI$3="","",IFERROR(INDEX('OCRMS Risk Map'!$B:$B,MATCH(AI$3,'OCRMS Risk Map'!$A:$A,0)),""))</f>
        <v/>
      </c>
      <c r="AJ2" s="21" t="str">
        <f aca="false">IF(AJ$3="","",IFERROR(INDEX('OCRMS Risk Map'!$B:$B,MATCH(AJ$3,'OCRMS Risk Map'!$A:$A,0)),""))</f>
        <v/>
      </c>
      <c r="AK2" s="21" t="str">
        <f aca="false">IF(AK$3="","",IFERROR(INDEX('OCRMS Risk Map'!$B:$B,MATCH(AK$3,'OCRMS Risk Map'!$A:$A,0)),""))</f>
        <v/>
      </c>
      <c r="AL2" s="21" t="str">
        <f aca="false">IF(AL$3="","",IFERROR(INDEX('OCRMS Risk Map'!$B:$B,MATCH(AL$3,'OCRMS Risk Map'!$A:$A,0)),""))</f>
        <v/>
      </c>
      <c r="AM2" s="21" t="str">
        <f aca="false">IF(AM$3="","",IFERROR(INDEX('OCRMS Risk Map'!$B:$B,MATCH(AM$3,'OCRMS Risk Map'!$A:$A,0)),""))</f>
        <v/>
      </c>
      <c r="AN2" s="21" t="str">
        <f aca="false">IF(AN$3="","",IFERROR(INDEX('OCRMS Risk Map'!$B:$B,MATCH(AN$3,'OCRMS Risk Map'!$A:$A,0)),""))</f>
        <v/>
      </c>
      <c r="AO2" s="21" t="str">
        <f aca="false">IF(AO$3="","",IFERROR(INDEX('OCRMS Risk Map'!$B:$B,MATCH(AO$3,'OCRMS Risk Map'!$A:$A,0)),""))</f>
        <v/>
      </c>
      <c r="AP2" s="21" t="str">
        <f aca="false">IF(AP$3="","",IFERROR(INDEX('OCRMS Risk Map'!$B:$B,MATCH(AP$3,'OCRMS Risk Map'!$A:$A,0)),""))</f>
        <v/>
      </c>
      <c r="AQ2" s="21" t="str">
        <f aca="false">IF(AQ$3="","",IFERROR(INDEX('OCRMS Risk Map'!$B:$B,MATCH(AQ$3,'OCRMS Risk Map'!$A:$A,0)),""))</f>
        <v/>
      </c>
      <c r="AR2" s="21" t="str">
        <f aca="false">IF(AR$3="","",IFERROR(INDEX('OCRMS Risk Map'!$B:$B,MATCH(AR$3,'OCRMS Risk Map'!$A:$A,0)),""))</f>
        <v/>
      </c>
      <c r="AS2" s="21" t="str">
        <f aca="false">IF(AS$3="","",IFERROR(INDEX('OCRMS Risk Map'!$B:$B,MATCH(AS$3,'OCRMS Risk Map'!$A:$A,0)),""))</f>
        <v/>
      </c>
      <c r="AT2" s="21" t="str">
        <f aca="false">IF(AT$3="","",IFERROR(INDEX('OCRMS Risk Map'!$B:$B,MATCH(AT$3,'OCRMS Risk Map'!$A:$A,0)),""))</f>
        <v/>
      </c>
      <c r="AU2" s="21" t="str">
        <f aca="false">IF(AU$3="","",IFERROR(INDEX('OCRMS Risk Map'!$B:$B,MATCH(AU$3,'OCRMS Risk Map'!$A:$A,0)),""))</f>
        <v/>
      </c>
      <c r="AV2" s="21" t="str">
        <f aca="false">IF(AV$3="","",IFERROR(INDEX('OCRMS Risk Map'!$B:$B,MATCH(AV$3,'OCRMS Risk Map'!$A:$A,0)),""))</f>
        <v/>
      </c>
      <c r="AW2" s="21" t="str">
        <f aca="false">IF(AW$3="","",IFERROR(INDEX('OCRMS Risk Map'!$B:$B,MATCH(AW$3,'OCRMS Risk Map'!$A:$A,0)),""))</f>
        <v/>
      </c>
      <c r="AX2" s="21" t="str">
        <f aca="false">IF(AX$3="","",IFERROR(INDEX('OCRMS Risk Map'!$B:$B,MATCH(AX$3,'OCRMS Risk Map'!$A:$A,0)),""))</f>
        <v/>
      </c>
      <c r="AY2" s="21" t="str">
        <f aca="false">IF(AY$3="","",IFERROR(INDEX('OCRMS Risk Map'!$B:$B,MATCH(AY$3,'OCRMS Risk Map'!$A:$A,0)),""))</f>
        <v/>
      </c>
      <c r="AZ2" s="21" t="str">
        <f aca="false">IF(AZ$3="","",IFERROR(INDEX('OCRMS Risk Map'!$B:$B,MATCH(AZ$3,'OCRMS Risk Map'!$A:$A,0)),""))</f>
        <v/>
      </c>
      <c r="BA2" s="21" t="str">
        <f aca="false">IF(BA$3="","",IFERROR(INDEX('OCRMS Risk Map'!$B:$B,MATCH(BA$3,'OCRMS Risk Map'!$A:$A,0)),""))</f>
        <v/>
      </c>
      <c r="BB2" s="21" t="str">
        <f aca="false">IF(BB$3="","",IFERROR(INDEX('OCRMS Risk Map'!$B:$B,MATCH(BB$3,'OCRMS Risk Map'!$A:$A,0)),""))</f>
        <v/>
      </c>
      <c r="BC2" s="21" t="str">
        <f aca="false">IF(BC$3="","",IFERROR(INDEX('OCRMS Risk Map'!$B:$B,MATCH(BC$3,'OCRMS Risk Map'!$A:$A,0)),""))</f>
        <v/>
      </c>
      <c r="BD2" s="21" t="str">
        <f aca="false">IF(BD$3="","",IFERROR(INDEX('OCRMS Risk Map'!$B:$B,MATCH(BD$3,'OCRMS Risk Map'!$A:$A,0)),""))</f>
        <v/>
      </c>
      <c r="BE2" s="21" t="str">
        <f aca="false">IF(BE$3="","",IFERROR(INDEX('OCRMS Risk Map'!$B:$B,MATCH(BE$3,'OCRMS Risk Map'!$A:$A,0)),""))</f>
        <v/>
      </c>
      <c r="BF2" s="21" t="str">
        <f aca="false">IF(BF$3="","",IFERROR(INDEX('OCRMS Risk Map'!$B:$B,MATCH(BF$3,'OCRMS Risk Map'!$A:$A,0)),""))</f>
        <v/>
      </c>
      <c r="BG2" s="21" t="str">
        <f aca="false">IF(BG$3="","",IFERROR(INDEX('OCRMS Risk Map'!$B:$B,MATCH(BG$3,'OCRMS Risk Map'!$A:$A,0)),""))</f>
        <v/>
      </c>
      <c r="BH2" s="21" t="str">
        <f aca="false">IF(BH$3="","",IFERROR(INDEX('OCRMS Risk Map'!$B:$B,MATCH(BH$3,'OCRMS Risk Map'!$A:$A,0)),""))</f>
        <v/>
      </c>
      <c r="BI2" s="21" t="str">
        <f aca="false">IF(BI$3="","",IFERROR(INDEX('OCRMS Risk Map'!$B:$B,MATCH(BI$3,'OCRMS Risk Map'!$A:$A,0)),""))</f>
        <v/>
      </c>
      <c r="BJ2" s="21" t="str">
        <f aca="false">IF(BJ$3="","",IFERROR(INDEX('OCRMS Risk Map'!$B:$B,MATCH(BJ$3,'OCRMS Risk Map'!$A:$A,0)),""))</f>
        <v/>
      </c>
      <c r="BK2" s="21" t="str">
        <f aca="false">IF(BK$3="","",IFERROR(INDEX('OCRMS Risk Map'!$B:$B,MATCH(BK$3,'OCRMS Risk Map'!$A:$A,0)),""))</f>
        <v/>
      </c>
      <c r="BL2" s="21" t="str">
        <f aca="false">IF(BL$3="","",IFERROR(INDEX('OCRMS Risk Map'!$B:$B,MATCH(BL$3,'OCRMS Risk Map'!$A:$A,0)),""))</f>
        <v/>
      </c>
      <c r="BM2" s="21" t="str">
        <f aca="false">IF(BM$3="","",IFERROR(INDEX('OCRMS Risk Map'!$B:$B,MATCH(BM$3,'OCRMS Risk Map'!$A:$A,0)),""))</f>
        <v/>
      </c>
      <c r="BN2" s="21" t="str">
        <f aca="false">IF(BN$3="","",IFERROR(INDEX('OCRMS Risk Map'!$B:$B,MATCH(BN$3,'OCRMS Risk Map'!$A:$A,0)),""))</f>
        <v/>
      </c>
      <c r="BO2" s="21" t="str">
        <f aca="false">IF(BO$3="","",IFERROR(INDEX('OCRMS Risk Map'!$B:$B,MATCH(BO$3,'OCRMS Risk Map'!$A:$A,0)),""))</f>
        <v/>
      </c>
      <c r="BP2" s="21" t="str">
        <f aca="false">IF(BP$3="","",IFERROR(INDEX('OCRMS Risk Map'!$B:$B,MATCH(BP$3,'OCRMS Risk Map'!$A:$A,0)),""))</f>
        <v/>
      </c>
      <c r="BQ2" s="21" t="str">
        <f aca="false">IF(BQ$3="","",IFERROR(INDEX('OCRMS Risk Map'!$B:$B,MATCH(BQ$3,'OCRMS Risk Map'!$A:$A,0)),""))</f>
        <v/>
      </c>
      <c r="BR2" s="21" t="str">
        <f aca="false">IF(BR$3="","",IFERROR(INDEX('OCRMS Risk Map'!$B:$B,MATCH(BR$3,'OCRMS Risk Map'!$A:$A,0)),""))</f>
        <v/>
      </c>
      <c r="BS2" s="21" t="str">
        <f aca="false">IF(BS$3="","",IFERROR(INDEX('OCRMS Risk Map'!$B:$B,MATCH(BS$3,'OCRMS Risk Map'!$A:$A,0)),""))</f>
        <v/>
      </c>
      <c r="BT2" s="21" t="str">
        <f aca="false">IF(BT$3="","",IFERROR(INDEX('OCRMS Risk Map'!$B:$B,MATCH(BT$3,'OCRMS Risk Map'!$A:$A,0)),""))</f>
        <v/>
      </c>
      <c r="BU2" s="21" t="str">
        <f aca="false">IF(BU$3="","",IFERROR(INDEX('OCRMS Risk Map'!$B:$B,MATCH(BU$3,'OCRMS Risk Map'!$A:$A,0)),""))</f>
        <v/>
      </c>
      <c r="BV2" s="21" t="str">
        <f aca="false">IF(BV$3="","",IFERROR(INDEX('OCRMS Risk Map'!$B:$B,MATCH(BV$3,'OCRMS Risk Map'!$A:$A,0)),""))</f>
        <v/>
      </c>
      <c r="BW2" s="21" t="str">
        <f aca="false">IF(BW$3="","",IFERROR(INDEX('OCRMS Risk Map'!$B:$B,MATCH(BW$3,'OCRMS Risk Map'!$A:$A,0)),""))</f>
        <v/>
      </c>
      <c r="BX2" s="21" t="str">
        <f aca="false">IF(BX$3="","",IFERROR(INDEX('OCRMS Risk Map'!$B:$B,MATCH(BX$3,'OCRMS Risk Map'!$A:$A,0)),""))</f>
        <v/>
      </c>
      <c r="BY2" s="21" t="str">
        <f aca="false">IF(BY$3="","",IFERROR(INDEX('OCRMS Risk Map'!$B:$B,MATCH(BY$3,'OCRMS Risk Map'!$A:$A,0)),""))</f>
        <v/>
      </c>
      <c r="BZ2" s="21" t="str">
        <f aca="false">IF(BZ$3="","",IFERROR(INDEX('OCRMS Risk Map'!$B:$B,MATCH(BZ$3,'OCRMS Risk Map'!$A:$A,0)),""))</f>
        <v/>
      </c>
      <c r="CA2" s="21" t="str">
        <f aca="false">IF(CA$3="","",IFERROR(INDEX('OCRMS Risk Map'!$B:$B,MATCH(CA$3,'OCRMS Risk Map'!$A:$A,0)),""))</f>
        <v/>
      </c>
      <c r="CB2" s="21" t="str">
        <f aca="false">IF(CB$3="","",IFERROR(INDEX('OCRMS Risk Map'!$B:$B,MATCH(CB$3,'OCRMS Risk Map'!$A:$A,0)),""))</f>
        <v/>
      </c>
      <c r="CC2" s="21" t="str">
        <f aca="false">IF(CC$3="","",IFERROR(INDEX('OCRMS Risk Map'!$B:$B,MATCH(CC$3,'OCRMS Risk Map'!$A:$A,0)),""))</f>
        <v/>
      </c>
      <c r="CD2" s="21" t="str">
        <f aca="false">IF(CD$3="","",IFERROR(INDEX('OCRMS Risk Map'!$B:$B,MATCH(CD$3,'OCRMS Risk Map'!$A:$A,0)),""))</f>
        <v/>
      </c>
      <c r="CE2" s="21" t="str">
        <f aca="false">IF(CE$3="","",IFERROR(INDEX('OCRMS Risk Map'!$B:$B,MATCH(CE$3,'OCRMS Risk Map'!$A:$A,0)),""))</f>
        <v/>
      </c>
      <c r="CF2" s="21" t="str">
        <f aca="false">IF(CF$3="","",IFERROR(INDEX('OCRMS Risk Map'!$B:$B,MATCH(CF$3,'OCRMS Risk Map'!$A:$A,0)),""))</f>
        <v/>
      </c>
      <c r="CG2" s="21" t="str">
        <f aca="false">IF(CG$3="","",IFERROR(INDEX('OCRMS Risk Map'!$B:$B,MATCH(CG$3,'OCRMS Risk Map'!$A:$A,0)),""))</f>
        <v/>
      </c>
      <c r="CH2" s="21" t="str">
        <f aca="false">IF(CH$3="","",IFERROR(INDEX('OCRMS Risk Map'!$B:$B,MATCH(CH$3,'OCRMS Risk Map'!$A:$A,0)),""))</f>
        <v/>
      </c>
    </row>
    <row r="3" customFormat="false" ht="15" hidden="false" customHeight="false" outlineLevel="0" collapsed="false">
      <c r="A3" s="22" t="s">
        <v>262</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J3" s="18" t="s">
        <v>263</v>
      </c>
    </row>
    <row r="4" customFormat="false" ht="15" hidden="false" customHeight="false" outlineLevel="0" collapsed="false">
      <c r="CJ4" s="21" t="str">
        <f aca="false">IF(OR($A4="",LOWER(TRIM($A4))="grand total"),"",IF(SUMPRODUCT(($B4:$CH4&gt;0)*($B$2:$CH$2="H"))&gt;0,1,0))</f>
        <v/>
      </c>
    </row>
    <row r="5" customFormat="false" ht="15" hidden="false" customHeight="false" outlineLevel="0" collapsed="false">
      <c r="CJ5" s="21" t="str">
        <f aca="false">IF(OR($A5="",LOWER(TRIM($A5))="grand total"),"",IF(SUMPRODUCT(($B5:$CH5&gt;0)*($B$2:$CH$2="H"))&gt;0,1,0))</f>
        <v/>
      </c>
    </row>
    <row r="6" customFormat="false" ht="15" hidden="false" customHeight="false" outlineLevel="0" collapsed="false">
      <c r="CJ6" s="21" t="str">
        <f aca="false">IF(OR($A6="",LOWER(TRIM($A6))="grand total"),"",IF(SUMPRODUCT(($B6:$CH6&gt;0)*($B$2:$CH$2="H"))&gt;0,1,0))</f>
        <v/>
      </c>
    </row>
    <row r="7" customFormat="false" ht="15" hidden="false" customHeight="false" outlineLevel="0" collapsed="false">
      <c r="CJ7" s="21" t="str">
        <f aca="false">IF(OR($A7="",LOWER(TRIM($A7))="grand total"),"",IF(SUMPRODUCT(($B7:$CH7&gt;0)*($B$2:$CH$2="H"))&gt;0,1,0))</f>
        <v/>
      </c>
    </row>
    <row r="8" customFormat="false" ht="15" hidden="false" customHeight="false" outlineLevel="0" collapsed="false">
      <c r="CJ8" s="21" t="str">
        <f aca="false">IF(OR($A8="",LOWER(TRIM($A8))="grand total"),"",IF(SUMPRODUCT(($B8:$CH8&gt;0)*($B$2:$CH$2="H"))&gt;0,1,0))</f>
        <v/>
      </c>
    </row>
    <row r="9" customFormat="false" ht="15" hidden="false" customHeight="false" outlineLevel="0" collapsed="false">
      <c r="CJ9" s="21" t="str">
        <f aca="false">IF(OR($A9="",LOWER(TRIM($A9))="grand total"),"",IF(SUMPRODUCT(($B9:$CH9&gt;0)*($B$2:$CH$2="H"))&gt;0,1,0))</f>
        <v/>
      </c>
    </row>
    <row r="10" customFormat="false" ht="15" hidden="false" customHeight="false" outlineLevel="0" collapsed="false">
      <c r="CJ10" s="21" t="str">
        <f aca="false">IF(OR($A10="",LOWER(TRIM($A10))="grand total"),"",IF(SUMPRODUCT(($B10:$CH10&gt;0)*($B$2:$CH$2="H"))&gt;0,1,0))</f>
        <v/>
      </c>
    </row>
    <row r="11" customFormat="false" ht="15" hidden="false" customHeight="false" outlineLevel="0" collapsed="false">
      <c r="CJ11" s="21" t="str">
        <f aca="false">IF(OR($A11="",LOWER(TRIM($A11))="grand total"),"",IF(SUMPRODUCT(($B11:$CH11&gt;0)*($B$2:$CH$2="H"))&gt;0,1,0))</f>
        <v/>
      </c>
    </row>
    <row r="12" customFormat="false" ht="15" hidden="false" customHeight="false" outlineLevel="0" collapsed="false">
      <c r="CJ12" s="21" t="str">
        <f aca="false">IF(OR($A12="",LOWER(TRIM($A12))="grand total"),"",IF(SUMPRODUCT(($B12:$CH12&gt;0)*($B$2:$CH$2="H"))&gt;0,1,0))</f>
        <v/>
      </c>
    </row>
    <row r="13" customFormat="false" ht="15" hidden="false" customHeight="false" outlineLevel="0" collapsed="false">
      <c r="CJ13" s="21" t="str">
        <f aca="false">IF(OR($A13="",LOWER(TRIM($A13))="grand total"),"",IF(SUMPRODUCT(($B13:$CH13&gt;0)*($B$2:$CH$2="H"))&gt;0,1,0))</f>
        <v/>
      </c>
    </row>
    <row r="14" customFormat="false" ht="15" hidden="false" customHeight="false" outlineLevel="0" collapsed="false">
      <c r="CJ14" s="21" t="str">
        <f aca="false">IF(OR($A14="",LOWER(TRIM($A14))="grand total"),"",IF(SUMPRODUCT(($B14:$CH14&gt;0)*($B$2:$CH$2="H"))&gt;0,1,0))</f>
        <v/>
      </c>
    </row>
    <row r="15" customFormat="false" ht="15" hidden="false" customHeight="false" outlineLevel="0" collapsed="false">
      <c r="CJ15" s="21" t="str">
        <f aca="false">IF(OR($A15="",LOWER(TRIM($A15))="grand total"),"",IF(SUMPRODUCT(($B15:$CH15&gt;0)*($B$2:$CH$2="H"))&gt;0,1,0))</f>
        <v/>
      </c>
    </row>
    <row r="16" customFormat="false" ht="15" hidden="false" customHeight="false" outlineLevel="0" collapsed="false">
      <c r="CJ16" s="21" t="str">
        <f aca="false">IF(OR($A16="",LOWER(TRIM($A16))="grand total"),"",IF(SUMPRODUCT(($B16:$CH16&gt;0)*($B$2:$CH$2="H"))&gt;0,1,0))</f>
        <v/>
      </c>
    </row>
    <row r="17" customFormat="false" ht="15" hidden="false" customHeight="false" outlineLevel="0" collapsed="false">
      <c r="CJ17" s="21" t="str">
        <f aca="false">IF(OR($A17="",LOWER(TRIM($A17))="grand total"),"",IF(SUMPRODUCT(($B17:$CH17&gt;0)*($B$2:$CH$2="H"))&gt;0,1,0))</f>
        <v/>
      </c>
    </row>
    <row r="18" customFormat="false" ht="15" hidden="false" customHeight="false" outlineLevel="0" collapsed="false">
      <c r="CJ18" s="21" t="str">
        <f aca="false">IF(OR($A18="",LOWER(TRIM($A18))="grand total"),"",IF(SUMPRODUCT(($B18:$CH18&gt;0)*($B$2:$CH$2="H"))&gt;0,1,0))</f>
        <v/>
      </c>
    </row>
    <row r="19" customFormat="false" ht="15" hidden="false" customHeight="false" outlineLevel="0" collapsed="false">
      <c r="CJ19" s="21" t="str">
        <f aca="false">IF(OR($A19="",LOWER(TRIM($A19))="grand total"),"",IF(SUMPRODUCT(($B19:$CH19&gt;0)*($B$2:$CH$2="H"))&gt;0,1,0))</f>
        <v/>
      </c>
    </row>
    <row r="20" customFormat="false" ht="15" hidden="false" customHeight="false" outlineLevel="0" collapsed="false">
      <c r="CJ20" s="21" t="str">
        <f aca="false">IF(OR($A20="",LOWER(TRIM($A20))="grand total"),"",IF(SUMPRODUCT(($B20:$CH20&gt;0)*($B$2:$CH$2="H"))&gt;0,1,0))</f>
        <v/>
      </c>
    </row>
    <row r="21" customFormat="false" ht="15" hidden="false" customHeight="false" outlineLevel="0" collapsed="false">
      <c r="CJ21" s="21" t="str">
        <f aca="false">IF(OR($A21="",LOWER(TRIM($A21))="grand total"),"",IF(SUMPRODUCT(($B21:$CH21&gt;0)*($B$2:$CH$2="H"))&gt;0,1,0))</f>
        <v/>
      </c>
    </row>
    <row r="22" customFormat="false" ht="15" hidden="false" customHeight="false" outlineLevel="0" collapsed="false">
      <c r="CJ22" s="21" t="str">
        <f aca="false">IF(OR($A22="",LOWER(TRIM($A22))="grand total"),"",IF(SUMPRODUCT(($B22:$CH22&gt;0)*($B$2:$CH$2="H"))&gt;0,1,0))</f>
        <v/>
      </c>
    </row>
    <row r="23" customFormat="false" ht="15" hidden="false" customHeight="false" outlineLevel="0" collapsed="false">
      <c r="CJ23" s="21" t="str">
        <f aca="false">IF(OR($A23="",LOWER(TRIM($A23))="grand total"),"",IF(SUMPRODUCT(($B23:$CH23&gt;0)*($B$2:$CH$2="H"))&gt;0,1,0))</f>
        <v/>
      </c>
    </row>
    <row r="24" customFormat="false" ht="15" hidden="false" customHeight="false" outlineLevel="0" collapsed="false">
      <c r="CJ24" s="21" t="str">
        <f aca="false">IF(OR($A24="",LOWER(TRIM($A24))="grand total"),"",IF(SUMPRODUCT(($B24:$CH24&gt;0)*($B$2:$CH$2="H"))&gt;0,1,0))</f>
        <v/>
      </c>
    </row>
    <row r="25" customFormat="false" ht="15" hidden="false" customHeight="false" outlineLevel="0" collapsed="false">
      <c r="CJ25" s="21" t="str">
        <f aca="false">IF(OR($A25="",LOWER(TRIM($A25))="grand total"),"",IF(SUMPRODUCT(($B25:$CH25&gt;0)*($B$2:$CH$2="H"))&gt;0,1,0))</f>
        <v/>
      </c>
    </row>
    <row r="26" customFormat="false" ht="15" hidden="false" customHeight="false" outlineLevel="0" collapsed="false">
      <c r="CJ26" s="21" t="str">
        <f aca="false">IF(OR($A26="",LOWER(TRIM($A26))="grand total"),"",IF(SUMPRODUCT(($B26:$CH26&gt;0)*($B$2:$CH$2="H"))&gt;0,1,0))</f>
        <v/>
      </c>
    </row>
    <row r="27" customFormat="false" ht="15" hidden="false" customHeight="false" outlineLevel="0" collapsed="false">
      <c r="CJ27" s="21" t="str">
        <f aca="false">IF(OR($A27="",LOWER(TRIM($A27))="grand total"),"",IF(SUMPRODUCT(($B27:$CH27&gt;0)*($B$2:$CH$2="H"))&gt;0,1,0))</f>
        <v/>
      </c>
    </row>
    <row r="28" customFormat="false" ht="15" hidden="false" customHeight="false" outlineLevel="0" collapsed="false">
      <c r="CJ28" s="21" t="str">
        <f aca="false">IF(OR($A28="",LOWER(TRIM($A28))="grand total"),"",IF(SUMPRODUCT(($B28:$CH28&gt;0)*($B$2:$CH$2="H"))&gt;0,1,0))</f>
        <v/>
      </c>
    </row>
    <row r="29" customFormat="false" ht="15" hidden="false" customHeight="false" outlineLevel="0" collapsed="false">
      <c r="CJ29" s="21" t="str">
        <f aca="false">IF(OR($A29="",LOWER(TRIM($A29))="grand total"),"",IF(SUMPRODUCT(($B29:$CH29&gt;0)*($B$2:$CH$2="H"))&gt;0,1,0))</f>
        <v/>
      </c>
    </row>
    <row r="30" customFormat="false" ht="15" hidden="false" customHeight="false" outlineLevel="0" collapsed="false">
      <c r="CJ30" s="21" t="str">
        <f aca="false">IF(OR($A30="",LOWER(TRIM($A30))="grand total"),"",IF(SUMPRODUCT(($B30:$CH30&gt;0)*($B$2:$CH$2="H"))&gt;0,1,0))</f>
        <v/>
      </c>
    </row>
    <row r="31" customFormat="false" ht="15" hidden="false" customHeight="false" outlineLevel="0" collapsed="false">
      <c r="CJ31" s="21" t="str">
        <f aca="false">IF(OR($A31="",LOWER(TRIM($A31))="grand total"),"",IF(SUMPRODUCT(($B31:$CH31&gt;0)*($B$2:$CH$2="H"))&gt;0,1,0))</f>
        <v/>
      </c>
    </row>
    <row r="32" customFormat="false" ht="15" hidden="false" customHeight="false" outlineLevel="0" collapsed="false">
      <c r="CJ32" s="21" t="str">
        <f aca="false">IF(OR($A32="",LOWER(TRIM($A32))="grand total"),"",IF(SUMPRODUCT(($B32:$CH32&gt;0)*($B$2:$CH$2="H"))&gt;0,1,0))</f>
        <v/>
      </c>
    </row>
    <row r="33" customFormat="false" ht="15" hidden="false" customHeight="false" outlineLevel="0" collapsed="false">
      <c r="CJ33" s="21" t="str">
        <f aca="false">IF(OR($A33="",LOWER(TRIM($A33))="grand total"),"",IF(SUMPRODUCT(($B33:$CH33&gt;0)*($B$2:$CH$2="H"))&gt;0,1,0))</f>
        <v/>
      </c>
    </row>
    <row r="34" customFormat="false" ht="15" hidden="false" customHeight="false" outlineLevel="0" collapsed="false">
      <c r="CJ34" s="21" t="str">
        <f aca="false">IF(OR($A34="",LOWER(TRIM($A34))="grand total"),"",IF(SUMPRODUCT(($B34:$CH34&gt;0)*($B$2:$CH$2="H"))&gt;0,1,0))</f>
        <v/>
      </c>
    </row>
    <row r="35" customFormat="false" ht="15" hidden="false" customHeight="false" outlineLevel="0" collapsed="false">
      <c r="CJ35" s="21" t="str">
        <f aca="false">IF(OR($A35="",LOWER(TRIM($A35))="grand total"),"",IF(SUMPRODUCT(($B35:$CH35&gt;0)*($B$2:$CH$2="H"))&gt;0,1,0))</f>
        <v/>
      </c>
    </row>
    <row r="36" customFormat="false" ht="15" hidden="false" customHeight="false" outlineLevel="0" collapsed="false">
      <c r="CJ36" s="21" t="str">
        <f aca="false">IF(OR($A36="",LOWER(TRIM($A36))="grand total"),"",IF(SUMPRODUCT(($B36:$CH36&gt;0)*($B$2:$CH$2="H"))&gt;0,1,0))</f>
        <v/>
      </c>
    </row>
    <row r="37" customFormat="false" ht="15" hidden="false" customHeight="false" outlineLevel="0" collapsed="false">
      <c r="CJ37" s="21" t="str">
        <f aca="false">IF(OR($A37="",LOWER(TRIM($A37))="grand total"),"",IF(SUMPRODUCT(($B37:$CH37&gt;0)*($B$2:$CH$2="H"))&gt;0,1,0))</f>
        <v/>
      </c>
    </row>
    <row r="38" customFormat="false" ht="15" hidden="false" customHeight="false" outlineLevel="0" collapsed="false">
      <c r="CJ38" s="21" t="str">
        <f aca="false">IF(OR($A38="",LOWER(TRIM($A38))="grand total"),"",IF(SUMPRODUCT(($B38:$CH38&gt;0)*($B$2:$CH$2="H"))&gt;0,1,0))</f>
        <v/>
      </c>
    </row>
    <row r="39" customFormat="false" ht="15" hidden="false" customHeight="false" outlineLevel="0" collapsed="false">
      <c r="CJ39" s="21" t="str">
        <f aca="false">IF(OR($A39="",LOWER(TRIM($A39))="grand total"),"",IF(SUMPRODUCT(($B39:$CH39&gt;0)*($B$2:$CH$2="H"))&gt;0,1,0))</f>
        <v/>
      </c>
    </row>
    <row r="40" customFormat="false" ht="15" hidden="false" customHeight="false" outlineLevel="0" collapsed="false">
      <c r="CJ40" s="21" t="str">
        <f aca="false">IF(OR($A40="",LOWER(TRIM($A40))="grand total"),"",IF(SUMPRODUCT(($B40:$CH40&gt;0)*($B$2:$CH$2="H"))&gt;0,1,0))</f>
        <v/>
      </c>
    </row>
    <row r="41" customFormat="false" ht="15" hidden="false" customHeight="false" outlineLevel="0" collapsed="false">
      <c r="CJ41" s="21" t="str">
        <f aca="false">IF(OR($A41="",LOWER(TRIM($A41))="grand total"),"",IF(SUMPRODUCT(($B41:$CH41&gt;0)*($B$2:$CH$2="H"))&gt;0,1,0))</f>
        <v/>
      </c>
    </row>
    <row r="42" customFormat="false" ht="15" hidden="false" customHeight="false" outlineLevel="0" collapsed="false">
      <c r="CJ42" s="21" t="str">
        <f aca="false">IF(OR($A42="",LOWER(TRIM($A42))="grand total"),"",IF(SUMPRODUCT(($B42:$CH42&gt;0)*($B$2:$CH$2="H"))&gt;0,1,0))</f>
        <v/>
      </c>
    </row>
    <row r="43" customFormat="false" ht="15" hidden="false" customHeight="false" outlineLevel="0" collapsed="false">
      <c r="CJ43" s="21" t="str">
        <f aca="false">IF(OR($A43="",LOWER(TRIM($A43))="grand total"),"",IF(SUMPRODUCT(($B43:$CH43&gt;0)*($B$2:$CH$2="H"))&gt;0,1,0))</f>
        <v/>
      </c>
    </row>
    <row r="44" customFormat="false" ht="15" hidden="false" customHeight="false" outlineLevel="0" collapsed="false">
      <c r="CJ44" s="21" t="str">
        <f aca="false">IF(OR($A44="",LOWER(TRIM($A44))="grand total"),"",IF(SUMPRODUCT(($B44:$CH44&gt;0)*($B$2:$CH$2="H"))&gt;0,1,0))</f>
        <v/>
      </c>
    </row>
    <row r="45" customFormat="false" ht="15" hidden="false" customHeight="false" outlineLevel="0" collapsed="false">
      <c r="CJ45" s="21" t="str">
        <f aca="false">IF(OR($A45="",LOWER(TRIM($A45))="grand total"),"",IF(SUMPRODUCT(($B45:$CH45&gt;0)*($B$2:$CH$2="H"))&gt;0,1,0))</f>
        <v/>
      </c>
    </row>
    <row r="46" customFormat="false" ht="15" hidden="false" customHeight="false" outlineLevel="0" collapsed="false">
      <c r="CJ46" s="21" t="str">
        <f aca="false">IF(OR($A46="",LOWER(TRIM($A46))="grand total"),"",IF(SUMPRODUCT(($B46:$CH46&gt;0)*($B$2:$CH$2="H"))&gt;0,1,0))</f>
        <v/>
      </c>
    </row>
    <row r="47" customFormat="false" ht="15" hidden="false" customHeight="false" outlineLevel="0" collapsed="false">
      <c r="CJ47" s="21" t="str">
        <f aca="false">IF(OR($A47="",LOWER(TRIM($A47))="grand total"),"",IF(SUMPRODUCT(($B47:$CH47&gt;0)*($B$2:$CH$2="H"))&gt;0,1,0))</f>
        <v/>
      </c>
    </row>
    <row r="48" customFormat="false" ht="15" hidden="false" customHeight="false" outlineLevel="0" collapsed="false">
      <c r="CJ48" s="21" t="str">
        <f aca="false">IF(OR($A48="",LOWER(TRIM($A48))="grand total"),"",IF(SUMPRODUCT(($B48:$CH48&gt;0)*($B$2:$CH$2="H"))&gt;0,1,0))</f>
        <v/>
      </c>
    </row>
    <row r="49" customFormat="false" ht="15" hidden="false" customHeight="false" outlineLevel="0" collapsed="false">
      <c r="CJ49" s="21" t="str">
        <f aca="false">IF(OR($A49="",LOWER(TRIM($A49))="grand total"),"",IF(SUMPRODUCT(($B49:$CH49&gt;0)*($B$2:$CH$2="H"))&gt;0,1,0))</f>
        <v/>
      </c>
    </row>
    <row r="50" customFormat="false" ht="15" hidden="false" customHeight="false" outlineLevel="0" collapsed="false">
      <c r="CJ50" s="21" t="str">
        <f aca="false">IF(OR($A50="",LOWER(TRIM($A50))="grand total"),"",IF(SUMPRODUCT(($B50:$CH50&gt;0)*($B$2:$CH$2="H"))&gt;0,1,0))</f>
        <v/>
      </c>
    </row>
    <row r="51" customFormat="false" ht="15" hidden="false" customHeight="false" outlineLevel="0" collapsed="false">
      <c r="CJ51" s="21" t="str">
        <f aca="false">IF(OR($A51="",LOWER(TRIM($A51))="grand total"),"",IF(SUMPRODUCT(($B51:$CH51&gt;0)*($B$2:$CH$2="H"))&gt;0,1,0))</f>
        <v/>
      </c>
    </row>
    <row r="52" customFormat="false" ht="15" hidden="false" customHeight="false" outlineLevel="0" collapsed="false">
      <c r="CJ52" s="21" t="str">
        <f aca="false">IF(OR($A52="",LOWER(TRIM($A52))="grand total"),"",IF(SUMPRODUCT(($B52:$CH52&gt;0)*($B$2:$CH$2="H"))&gt;0,1,0))</f>
        <v/>
      </c>
    </row>
    <row r="53" customFormat="false" ht="15" hidden="false" customHeight="false" outlineLevel="0" collapsed="false">
      <c r="CJ53" s="21" t="str">
        <f aca="false">IF(OR($A53="",LOWER(TRIM($A53))="grand total"),"",IF(SUMPRODUCT(($B53:$CH53&gt;0)*($B$2:$CH$2="H"))&gt;0,1,0))</f>
        <v/>
      </c>
    </row>
    <row r="54" customFormat="false" ht="15" hidden="false" customHeight="false" outlineLevel="0" collapsed="false">
      <c r="CJ54" s="21" t="str">
        <f aca="false">IF(OR($A54="",LOWER(TRIM($A54))="grand total"),"",IF(SUMPRODUCT(($B54:$CH54&gt;0)*($B$2:$CH$2="H"))&gt;0,1,0))</f>
        <v/>
      </c>
    </row>
    <row r="55" customFormat="false" ht="15" hidden="false" customHeight="false" outlineLevel="0" collapsed="false">
      <c r="CJ55" s="21" t="str">
        <f aca="false">IF(OR($A55="",LOWER(TRIM($A55))="grand total"),"",IF(SUMPRODUCT(($B55:$CH55&gt;0)*($B$2:$CH$2="H"))&gt;0,1,0))</f>
        <v/>
      </c>
    </row>
    <row r="56" customFormat="false" ht="15" hidden="false" customHeight="false" outlineLevel="0" collapsed="false">
      <c r="CJ56" s="21" t="str">
        <f aca="false">IF(OR($A56="",LOWER(TRIM($A56))="grand total"),"",IF(SUMPRODUCT(($B56:$CH56&gt;0)*($B$2:$CH$2="H"))&gt;0,1,0))</f>
        <v/>
      </c>
    </row>
    <row r="57" customFormat="false" ht="15" hidden="false" customHeight="false" outlineLevel="0" collapsed="false">
      <c r="CJ57" s="21" t="str">
        <f aca="false">IF(OR($A57="",LOWER(TRIM($A57))="grand total"),"",IF(SUMPRODUCT(($B57:$CH57&gt;0)*($B$2:$CH$2="H"))&gt;0,1,0))</f>
        <v/>
      </c>
    </row>
    <row r="58" customFormat="false" ht="15" hidden="false" customHeight="false" outlineLevel="0" collapsed="false">
      <c r="CJ58" s="21" t="str">
        <f aca="false">IF(OR($A58="",LOWER(TRIM($A58))="grand total"),"",IF(SUMPRODUCT(($B58:$CH58&gt;0)*($B$2:$CH$2="H"))&gt;0,1,0))</f>
        <v/>
      </c>
    </row>
    <row r="59" customFormat="false" ht="15" hidden="false" customHeight="false" outlineLevel="0" collapsed="false">
      <c r="CJ59" s="21" t="str">
        <f aca="false">IF(OR($A59="",LOWER(TRIM($A59))="grand total"),"",IF(SUMPRODUCT(($B59:$CH59&gt;0)*($B$2:$CH$2="H"))&gt;0,1,0))</f>
        <v/>
      </c>
    </row>
    <row r="60" customFormat="false" ht="15" hidden="false" customHeight="false" outlineLevel="0" collapsed="false">
      <c r="CJ60" s="21" t="str">
        <f aca="false">IF(OR($A60="",LOWER(TRIM($A60))="grand total"),"",IF(SUMPRODUCT(($B60:$CH60&gt;0)*($B$2:$CH$2="H"))&gt;0,1,0))</f>
        <v/>
      </c>
    </row>
    <row r="61" customFormat="false" ht="15" hidden="false" customHeight="false" outlineLevel="0" collapsed="false">
      <c r="CJ61" s="21" t="str">
        <f aca="false">IF(OR($A61="",LOWER(TRIM($A61))="grand total"),"",IF(SUMPRODUCT(($B61:$CH61&gt;0)*($B$2:$CH$2="H"))&gt;0,1,0))</f>
        <v/>
      </c>
    </row>
    <row r="62" customFormat="false" ht="15" hidden="false" customHeight="false" outlineLevel="0" collapsed="false">
      <c r="CJ62" s="21" t="str">
        <f aca="false">IF(OR($A62="",LOWER(TRIM($A62))="grand total"),"",IF(SUMPRODUCT(($B62:$CH62&gt;0)*($B$2:$CH$2="H"))&gt;0,1,0))</f>
        <v/>
      </c>
    </row>
    <row r="63" customFormat="false" ht="15" hidden="false" customHeight="false" outlineLevel="0" collapsed="false">
      <c r="CJ63" s="21" t="str">
        <f aca="false">IF(OR($A63="",LOWER(TRIM($A63))="grand total"),"",IF(SUMPRODUCT(($B63:$CH63&gt;0)*($B$2:$CH$2="H"))&gt;0,1,0))</f>
        <v/>
      </c>
    </row>
    <row r="64" customFormat="false" ht="15" hidden="false" customHeight="false" outlineLevel="0" collapsed="false">
      <c r="CJ64" s="21" t="str">
        <f aca="false">IF(OR($A64="",LOWER(TRIM($A64))="grand total"),"",IF(SUMPRODUCT(($B64:$CH64&gt;0)*($B$2:$CH$2="H"))&gt;0,1,0))</f>
        <v/>
      </c>
    </row>
    <row r="65" customFormat="false" ht="15" hidden="false" customHeight="false" outlineLevel="0" collapsed="false">
      <c r="CJ65" s="21" t="str">
        <f aca="false">IF(OR($A65="",LOWER(TRIM($A65))="grand total"),"",IF(SUMPRODUCT(($B65:$CH65&gt;0)*($B$2:$CH$2="H"))&gt;0,1,0))</f>
        <v/>
      </c>
    </row>
    <row r="66" customFormat="false" ht="15" hidden="false" customHeight="false" outlineLevel="0" collapsed="false">
      <c r="CJ66" s="21" t="str">
        <f aca="false">IF(OR($A66="",LOWER(TRIM($A66))="grand total"),"",IF(SUMPRODUCT(($B66:$CH66&gt;0)*($B$2:$CH$2="H"))&gt;0,1,0))</f>
        <v/>
      </c>
    </row>
    <row r="67" customFormat="false" ht="15" hidden="false" customHeight="false" outlineLevel="0" collapsed="false">
      <c r="CJ67" s="21" t="str">
        <f aca="false">IF(OR($A67="",LOWER(TRIM($A67))="grand total"),"",IF(SUMPRODUCT(($B67:$CH67&gt;0)*($B$2:$CH$2="H"))&gt;0,1,0))</f>
        <v/>
      </c>
    </row>
    <row r="68" customFormat="false" ht="15" hidden="false" customHeight="false" outlineLevel="0" collapsed="false">
      <c r="CJ68" s="21" t="str">
        <f aca="false">IF(OR($A68="",LOWER(TRIM($A68))="grand total"),"",IF(SUMPRODUCT(($B68:$CH68&gt;0)*($B$2:$CH$2="H"))&gt;0,1,0))</f>
        <v/>
      </c>
    </row>
    <row r="69" customFormat="false" ht="15" hidden="false" customHeight="false" outlineLevel="0" collapsed="false">
      <c r="CJ69" s="21" t="str">
        <f aca="false">IF(OR($A69="",LOWER(TRIM($A69))="grand total"),"",IF(SUMPRODUCT(($B69:$CH69&gt;0)*($B$2:$CH$2="H"))&gt;0,1,0))</f>
        <v/>
      </c>
    </row>
    <row r="70" customFormat="false" ht="15" hidden="false" customHeight="false" outlineLevel="0" collapsed="false">
      <c r="CJ70" s="21" t="str">
        <f aca="false">IF(OR($A70="",LOWER(TRIM($A70))="grand total"),"",IF(SUMPRODUCT(($B70:$CH70&gt;0)*($B$2:$CH$2="H"))&gt;0,1,0))</f>
        <v/>
      </c>
    </row>
    <row r="71" customFormat="false" ht="15" hidden="false" customHeight="false" outlineLevel="0" collapsed="false">
      <c r="CJ71" s="21" t="str">
        <f aca="false">IF(OR($A71="",LOWER(TRIM($A71))="grand total"),"",IF(SUMPRODUCT(($B71:$CH71&gt;0)*($B$2:$CH$2="H"))&gt;0,1,0))</f>
        <v/>
      </c>
    </row>
    <row r="72" customFormat="false" ht="15" hidden="false" customHeight="false" outlineLevel="0" collapsed="false">
      <c r="CJ72" s="21" t="str">
        <f aca="false">IF(OR($A72="",LOWER(TRIM($A72))="grand total"),"",IF(SUMPRODUCT(($B72:$CH72&gt;0)*($B$2:$CH$2="H"))&gt;0,1,0))</f>
        <v/>
      </c>
    </row>
    <row r="73" customFormat="false" ht="15" hidden="false" customHeight="false" outlineLevel="0" collapsed="false">
      <c r="CJ73" s="21" t="str">
        <f aca="false">IF(OR($A73="",LOWER(TRIM($A73))="grand total"),"",IF(SUMPRODUCT(($B73:$CH73&gt;0)*($B$2:$CH$2="H"))&gt;0,1,0))</f>
        <v/>
      </c>
    </row>
    <row r="74" customFormat="false" ht="15" hidden="false" customHeight="false" outlineLevel="0" collapsed="false">
      <c r="CJ74" s="21" t="str">
        <f aca="false">IF(OR($A74="",LOWER(TRIM($A74))="grand total"),"",IF(SUMPRODUCT(($B74:$CH74&gt;0)*($B$2:$CH$2="H"))&gt;0,1,0))</f>
        <v/>
      </c>
    </row>
    <row r="75" customFormat="false" ht="15" hidden="false" customHeight="false" outlineLevel="0" collapsed="false">
      <c r="CJ75" s="21" t="str">
        <f aca="false">IF(OR($A75="",LOWER(TRIM($A75))="grand total"),"",IF(SUMPRODUCT(($B75:$CH75&gt;0)*($B$2:$CH$2="H"))&gt;0,1,0))</f>
        <v/>
      </c>
    </row>
    <row r="76" customFormat="false" ht="15" hidden="false" customHeight="false" outlineLevel="0" collapsed="false">
      <c r="CJ76" s="21" t="str">
        <f aca="false">IF(OR($A76="",LOWER(TRIM($A76))="grand total"),"",IF(SUMPRODUCT(($B76:$CH76&gt;0)*($B$2:$CH$2="H"))&gt;0,1,0))</f>
        <v/>
      </c>
    </row>
    <row r="77" customFormat="false" ht="15" hidden="false" customHeight="false" outlineLevel="0" collapsed="false">
      <c r="CJ77" s="21" t="str">
        <f aca="false">IF(OR($A77="",LOWER(TRIM($A77))="grand total"),"",IF(SUMPRODUCT(($B77:$CH77&gt;0)*($B$2:$CH$2="H"))&gt;0,1,0))</f>
        <v/>
      </c>
    </row>
    <row r="78" customFormat="false" ht="15" hidden="false" customHeight="false" outlineLevel="0" collapsed="false">
      <c r="CJ78" s="21" t="str">
        <f aca="false">IF(OR($A78="",LOWER(TRIM($A78))="grand total"),"",IF(SUMPRODUCT(($B78:$CH78&gt;0)*($B$2:$CH$2="H"))&gt;0,1,0))</f>
        <v/>
      </c>
    </row>
    <row r="79" customFormat="false" ht="15" hidden="false" customHeight="false" outlineLevel="0" collapsed="false">
      <c r="CJ79" s="21" t="str">
        <f aca="false">IF(OR($A79="",LOWER(TRIM($A79))="grand total"),"",IF(SUMPRODUCT(($B79:$CH79&gt;0)*($B$2:$CH$2="H"))&gt;0,1,0))</f>
        <v/>
      </c>
    </row>
    <row r="80" customFormat="false" ht="15" hidden="false" customHeight="false" outlineLevel="0" collapsed="false">
      <c r="CJ80" s="21" t="str">
        <f aca="false">IF(OR($A80="",LOWER(TRIM($A80))="grand total"),"",IF(SUMPRODUCT(($B80:$CH80&gt;0)*($B$2:$CH$2="H"))&gt;0,1,0))</f>
        <v/>
      </c>
    </row>
    <row r="81" customFormat="false" ht="15" hidden="false" customHeight="false" outlineLevel="0" collapsed="false">
      <c r="CJ81" s="21" t="str">
        <f aca="false">IF(OR($A81="",LOWER(TRIM($A81))="grand total"),"",IF(SUMPRODUCT(($B81:$CH81&gt;0)*($B$2:$CH$2="H"))&gt;0,1,0))</f>
        <v/>
      </c>
    </row>
    <row r="82" customFormat="false" ht="15" hidden="false" customHeight="false" outlineLevel="0" collapsed="false">
      <c r="CJ82" s="21" t="str">
        <f aca="false">IF(OR($A82="",LOWER(TRIM($A82))="grand total"),"",IF(SUMPRODUCT(($B82:$CH82&gt;0)*($B$2:$CH$2="H"))&gt;0,1,0))</f>
        <v/>
      </c>
    </row>
    <row r="83" customFormat="false" ht="15" hidden="false" customHeight="false" outlineLevel="0" collapsed="false">
      <c r="CJ83" s="21" t="str">
        <f aca="false">IF(OR($A83="",LOWER(TRIM($A83))="grand total"),"",IF(SUMPRODUCT(($B83:$CH83&gt;0)*($B$2:$CH$2="H"))&gt;0,1,0))</f>
        <v/>
      </c>
    </row>
    <row r="84" customFormat="false" ht="15" hidden="false" customHeight="false" outlineLevel="0" collapsed="false">
      <c r="CJ84" s="21" t="str">
        <f aca="false">IF(OR($A84="",LOWER(TRIM($A84))="grand total"),"",IF(SUMPRODUCT(($B84:$CH84&gt;0)*($B$2:$CH$2="H"))&gt;0,1,0))</f>
        <v/>
      </c>
    </row>
    <row r="85" customFormat="false" ht="15" hidden="false" customHeight="false" outlineLevel="0" collapsed="false">
      <c r="CJ85" s="21" t="str">
        <f aca="false">IF(OR($A85="",LOWER(TRIM($A85))="grand total"),"",IF(SUMPRODUCT(($B85:$CH85&gt;0)*($B$2:$CH$2="H"))&gt;0,1,0))</f>
        <v/>
      </c>
    </row>
    <row r="86" customFormat="false" ht="15" hidden="false" customHeight="false" outlineLevel="0" collapsed="false">
      <c r="CJ86" s="21" t="str">
        <f aca="false">IF(OR($A86="",LOWER(TRIM($A86))="grand total"),"",IF(SUMPRODUCT(($B86:$CH86&gt;0)*($B$2:$CH$2="H"))&gt;0,1,0))</f>
        <v/>
      </c>
    </row>
    <row r="87" customFormat="false" ht="15" hidden="false" customHeight="false" outlineLevel="0" collapsed="false">
      <c r="CJ87" s="21" t="str">
        <f aca="false">IF(OR($A87="",LOWER(TRIM($A87))="grand total"),"",IF(SUMPRODUCT(($B87:$CH87&gt;0)*($B$2:$CH$2="H"))&gt;0,1,0))</f>
        <v/>
      </c>
    </row>
    <row r="88" customFormat="false" ht="15" hidden="false" customHeight="false" outlineLevel="0" collapsed="false">
      <c r="CJ88" s="21" t="str">
        <f aca="false">IF(OR($A88="",LOWER(TRIM($A88))="grand total"),"",IF(SUMPRODUCT(($B88:$CH88&gt;0)*($B$2:$CH$2="H"))&gt;0,1,0))</f>
        <v/>
      </c>
    </row>
    <row r="89" customFormat="false" ht="15" hidden="false" customHeight="false" outlineLevel="0" collapsed="false">
      <c r="CJ89" s="21" t="str">
        <f aca="false">IF(OR($A89="",LOWER(TRIM($A89))="grand total"),"",IF(SUMPRODUCT(($B89:$CH89&gt;0)*($B$2:$CH$2="H"))&gt;0,1,0))</f>
        <v/>
      </c>
    </row>
    <row r="90" customFormat="false" ht="15" hidden="false" customHeight="false" outlineLevel="0" collapsed="false">
      <c r="CJ90" s="21" t="str">
        <f aca="false">IF(OR($A90="",LOWER(TRIM($A90))="grand total"),"",IF(SUMPRODUCT(($B90:$CH90&gt;0)*($B$2:$CH$2="H"))&gt;0,1,0))</f>
        <v/>
      </c>
    </row>
    <row r="91" customFormat="false" ht="15" hidden="false" customHeight="false" outlineLevel="0" collapsed="false">
      <c r="CJ91" s="21" t="str">
        <f aca="false">IF(OR($A91="",LOWER(TRIM($A91))="grand total"),"",IF(SUMPRODUCT(($B91:$CH91&gt;0)*($B$2:$CH$2="H"))&gt;0,1,0))</f>
        <v/>
      </c>
    </row>
    <row r="92" customFormat="false" ht="15" hidden="false" customHeight="false" outlineLevel="0" collapsed="false">
      <c r="CJ92" s="21" t="str">
        <f aca="false">IF(OR($A92="",LOWER(TRIM($A92))="grand total"),"",IF(SUMPRODUCT(($B92:$CH92&gt;0)*($B$2:$CH$2="H"))&gt;0,1,0))</f>
        <v/>
      </c>
    </row>
    <row r="93" customFormat="false" ht="15" hidden="false" customHeight="false" outlineLevel="0" collapsed="false">
      <c r="CJ93" s="21" t="str">
        <f aca="false">IF(OR($A93="",LOWER(TRIM($A93))="grand total"),"",IF(SUMPRODUCT(($B93:$CH93&gt;0)*($B$2:$CH$2="H"))&gt;0,1,0))</f>
        <v/>
      </c>
    </row>
    <row r="94" customFormat="false" ht="15" hidden="false" customHeight="false" outlineLevel="0" collapsed="false">
      <c r="CJ94" s="21" t="str">
        <f aca="false">IF(OR($A94="",LOWER(TRIM($A94))="grand total"),"",IF(SUMPRODUCT(($B94:$CH94&gt;0)*($B$2:$CH$2="H"))&gt;0,1,0))</f>
        <v/>
      </c>
    </row>
    <row r="95" customFormat="false" ht="15" hidden="false" customHeight="false" outlineLevel="0" collapsed="false">
      <c r="CJ95" s="21" t="str">
        <f aca="false">IF(OR($A95="",LOWER(TRIM($A95))="grand total"),"",IF(SUMPRODUCT(($B95:$CH95&gt;0)*($B$2:$CH$2="H"))&gt;0,1,0))</f>
        <v/>
      </c>
    </row>
    <row r="96" customFormat="false" ht="15" hidden="false" customHeight="false" outlineLevel="0" collapsed="false">
      <c r="CJ96" s="21" t="str">
        <f aca="false">IF(OR($A96="",LOWER(TRIM($A96))="grand total"),"",IF(SUMPRODUCT(($B96:$CH96&gt;0)*($B$2:$CH$2="H"))&gt;0,1,0))</f>
        <v/>
      </c>
    </row>
    <row r="97" customFormat="false" ht="15" hidden="false" customHeight="false" outlineLevel="0" collapsed="false">
      <c r="CJ97" s="21" t="str">
        <f aca="false">IF(OR($A97="",LOWER(TRIM($A97))="grand total"),"",IF(SUMPRODUCT(($B97:$CH97&gt;0)*($B$2:$CH$2="H"))&gt;0,1,0))</f>
        <v/>
      </c>
    </row>
    <row r="98" customFormat="false" ht="15" hidden="false" customHeight="false" outlineLevel="0" collapsed="false">
      <c r="CJ98" s="21" t="str">
        <f aca="false">IF(OR($A98="",LOWER(TRIM($A98))="grand total"),"",IF(SUMPRODUCT(($B98:$CH98&gt;0)*($B$2:$CH$2="H"))&gt;0,1,0))</f>
        <v/>
      </c>
    </row>
    <row r="99" customFormat="false" ht="15" hidden="false" customHeight="false" outlineLevel="0" collapsed="false">
      <c r="CJ99" s="21" t="str">
        <f aca="false">IF(OR($A99="",LOWER(TRIM($A99))="grand total"),"",IF(SUMPRODUCT(($B99:$CH99&gt;0)*($B$2:$CH$2="H"))&gt;0,1,0))</f>
        <v/>
      </c>
    </row>
    <row r="100" customFormat="false" ht="15" hidden="false" customHeight="false" outlineLevel="0" collapsed="false">
      <c r="CJ100" s="21" t="str">
        <f aca="false">IF(OR($A100="",LOWER(TRIM($A100))="grand total"),"",IF(SUMPRODUCT(($B100:$CH100&gt;0)*($B$2:$CH$2="H"))&gt;0,1,0))</f>
        <v/>
      </c>
    </row>
    <row r="101" customFormat="false" ht="15" hidden="false" customHeight="false" outlineLevel="0" collapsed="false">
      <c r="CJ101" s="21" t="str">
        <f aca="false">IF(OR($A101="",LOWER(TRIM($A101))="grand total"),"",IF(SUMPRODUCT(($B101:$CH101&gt;0)*($B$2:$CH$2="H"))&gt;0,1,0))</f>
        <v/>
      </c>
    </row>
    <row r="102" customFormat="false" ht="15" hidden="false" customHeight="false" outlineLevel="0" collapsed="false">
      <c r="CJ102" s="21" t="str">
        <f aca="false">IF(OR($A102="",LOWER(TRIM($A102))="grand total"),"",IF(SUMPRODUCT(($B102:$CH102&gt;0)*($B$2:$CH$2="H"))&gt;0,1,0))</f>
        <v/>
      </c>
    </row>
    <row r="103" customFormat="false" ht="15" hidden="false" customHeight="false" outlineLevel="0" collapsed="false">
      <c r="CJ103" s="21" t="str">
        <f aca="false">IF(OR($A103="",LOWER(TRIM($A103))="grand total"),"",IF(SUMPRODUCT(($B103:$CH103&gt;0)*($B$2:$CH$2="H"))&gt;0,1,0))</f>
        <v/>
      </c>
    </row>
    <row r="104" customFormat="false" ht="15" hidden="false" customHeight="false" outlineLevel="0" collapsed="false">
      <c r="CJ104" s="21" t="str">
        <f aca="false">IF(OR($A104="",LOWER(TRIM($A104))="grand total"),"",IF(SUMPRODUCT(($B104:$CH104&gt;0)*($B$2:$CH$2="H"))&gt;0,1,0))</f>
        <v/>
      </c>
    </row>
    <row r="105" customFormat="false" ht="15" hidden="false" customHeight="false" outlineLevel="0" collapsed="false">
      <c r="CJ105" s="21" t="str">
        <f aca="false">IF(OR($A105="",LOWER(TRIM($A105))="grand total"),"",IF(SUMPRODUCT(($B105:$CH105&gt;0)*($B$2:$CH$2="H"))&gt;0,1,0))</f>
        <v/>
      </c>
    </row>
    <row r="106" customFormat="false" ht="15" hidden="false" customHeight="false" outlineLevel="0" collapsed="false">
      <c r="CJ106" s="21" t="str">
        <f aca="false">IF(OR($A106="",LOWER(TRIM($A106))="grand total"),"",IF(SUMPRODUCT(($B106:$CH106&gt;0)*($B$2:$CH$2="H"))&gt;0,1,0))</f>
        <v/>
      </c>
    </row>
    <row r="107" customFormat="false" ht="15" hidden="false" customHeight="false" outlineLevel="0" collapsed="false">
      <c r="CJ107" s="21" t="str">
        <f aca="false">IF(OR($A107="",LOWER(TRIM($A107))="grand total"),"",IF(SUMPRODUCT(($B107:$CH107&gt;0)*($B$2:$CH$2="H"))&gt;0,1,0))</f>
        <v/>
      </c>
    </row>
    <row r="108" customFormat="false" ht="15" hidden="false" customHeight="false" outlineLevel="0" collapsed="false">
      <c r="CJ108" s="21" t="str">
        <f aca="false">IF(OR($A108="",LOWER(TRIM($A108))="grand total"),"",IF(SUMPRODUCT(($B108:$CH108&gt;0)*($B$2:$CH$2="H"))&gt;0,1,0))</f>
        <v/>
      </c>
    </row>
    <row r="109" customFormat="false" ht="15" hidden="false" customHeight="false" outlineLevel="0" collapsed="false">
      <c r="CJ109" s="21" t="str">
        <f aca="false">IF(OR($A109="",LOWER(TRIM($A109))="grand total"),"",IF(SUMPRODUCT(($B109:$CH109&gt;0)*($B$2:$CH$2="H"))&gt;0,1,0))</f>
        <v/>
      </c>
    </row>
    <row r="110" customFormat="false" ht="15" hidden="false" customHeight="false" outlineLevel="0" collapsed="false">
      <c r="CJ110" s="21" t="str">
        <f aca="false">IF(OR($A110="",LOWER(TRIM($A110))="grand total"),"",IF(SUMPRODUCT(($B110:$CH110&gt;0)*($B$2:$CH$2="H"))&gt;0,1,0))</f>
        <v/>
      </c>
    </row>
    <row r="111" customFormat="false" ht="15" hidden="false" customHeight="false" outlineLevel="0" collapsed="false">
      <c r="CJ111" s="21" t="str">
        <f aca="false">IF(OR($A111="",LOWER(TRIM($A111))="grand total"),"",IF(SUMPRODUCT(($B111:$CH111&gt;0)*($B$2:$CH$2="H"))&gt;0,1,0))</f>
        <v/>
      </c>
    </row>
    <row r="112" customFormat="false" ht="15" hidden="false" customHeight="false" outlineLevel="0" collapsed="false">
      <c r="CJ112" s="21" t="str">
        <f aca="false">IF(OR($A112="",LOWER(TRIM($A112))="grand total"),"",IF(SUMPRODUCT(($B112:$CH112&gt;0)*($B$2:$CH$2="H"))&gt;0,1,0))</f>
        <v/>
      </c>
    </row>
    <row r="113" customFormat="false" ht="15" hidden="false" customHeight="false" outlineLevel="0" collapsed="false">
      <c r="CJ113" s="21" t="str">
        <f aca="false">IF(OR($A113="",LOWER(TRIM($A113))="grand total"),"",IF(SUMPRODUCT(($B113:$CH113&gt;0)*($B$2:$CH$2="H"))&gt;0,1,0))</f>
        <v/>
      </c>
    </row>
    <row r="114" customFormat="false" ht="15" hidden="false" customHeight="false" outlineLevel="0" collapsed="false">
      <c r="CJ114" s="21" t="str">
        <f aca="false">IF(OR($A114="",LOWER(TRIM($A114))="grand total"),"",IF(SUMPRODUCT(($B114:$CH114&gt;0)*($B$2:$CH$2="H"))&gt;0,1,0))</f>
        <v/>
      </c>
    </row>
    <row r="115" customFormat="false" ht="15" hidden="false" customHeight="false" outlineLevel="0" collapsed="false">
      <c r="CJ115" s="21" t="str">
        <f aca="false">IF(OR($A115="",LOWER(TRIM($A115))="grand total"),"",IF(SUMPRODUCT(($B115:$CH115&gt;0)*($B$2:$CH$2="H"))&gt;0,1,0))</f>
        <v/>
      </c>
    </row>
    <row r="116" customFormat="false" ht="15" hidden="false" customHeight="false" outlineLevel="0" collapsed="false">
      <c r="CJ116" s="21" t="str">
        <f aca="false">IF(OR($A116="",LOWER(TRIM($A116))="grand total"),"",IF(SUMPRODUCT(($B116:$CH116&gt;0)*($B$2:$CH$2="H"))&gt;0,1,0))</f>
        <v/>
      </c>
    </row>
    <row r="117" customFormat="false" ht="15" hidden="false" customHeight="false" outlineLevel="0" collapsed="false">
      <c r="CJ117" s="21" t="str">
        <f aca="false">IF(OR($A117="",LOWER(TRIM($A117))="grand total"),"",IF(SUMPRODUCT(($B117:$CH117&gt;0)*($B$2:$CH$2="H"))&gt;0,1,0))</f>
        <v/>
      </c>
    </row>
    <row r="118" customFormat="false" ht="15" hidden="false" customHeight="false" outlineLevel="0" collapsed="false">
      <c r="CJ118" s="21" t="str">
        <f aca="false">IF(OR($A118="",LOWER(TRIM($A118))="grand total"),"",IF(SUMPRODUCT(($B118:$CH118&gt;0)*($B$2:$CH$2="H"))&gt;0,1,0))</f>
        <v/>
      </c>
    </row>
    <row r="119" customFormat="false" ht="15" hidden="false" customHeight="false" outlineLevel="0" collapsed="false">
      <c r="CJ119" s="21" t="str">
        <f aca="false">IF(OR($A119="",LOWER(TRIM($A119))="grand total"),"",IF(SUMPRODUCT(($B119:$CH119&gt;0)*($B$2:$CH$2="H"))&gt;0,1,0))</f>
        <v/>
      </c>
    </row>
    <row r="120" customFormat="false" ht="15" hidden="false" customHeight="false" outlineLevel="0" collapsed="false">
      <c r="CJ120" s="21" t="str">
        <f aca="false">IF(OR($A120="",LOWER(TRIM($A120))="grand total"),"",IF(SUMPRODUCT(($B120:$CH120&gt;0)*($B$2:$CH$2="H"))&gt;0,1,0))</f>
        <v/>
      </c>
    </row>
    <row r="121" customFormat="false" ht="15" hidden="false" customHeight="false" outlineLevel="0" collapsed="false">
      <c r="CJ121" s="21" t="str">
        <f aca="false">IF(OR($A121="",LOWER(TRIM($A121))="grand total"),"",IF(SUMPRODUCT(($B121:$CH121&gt;0)*($B$2:$CH$2="H"))&gt;0,1,0))</f>
        <v/>
      </c>
    </row>
    <row r="122" customFormat="false" ht="15" hidden="false" customHeight="false" outlineLevel="0" collapsed="false">
      <c r="CJ122" s="21" t="str">
        <f aca="false">IF(OR($A122="",LOWER(TRIM($A122))="grand total"),"",IF(SUMPRODUCT(($B122:$CH122&gt;0)*($B$2:$CH$2="H"))&gt;0,1,0))</f>
        <v/>
      </c>
    </row>
    <row r="123" customFormat="false" ht="15" hidden="false" customHeight="false" outlineLevel="0" collapsed="false">
      <c r="CJ123" s="21" t="str">
        <f aca="false">IF(OR($A123="",LOWER(TRIM($A123))="grand total"),"",IF(SUMPRODUCT(($B123:$CH123&gt;0)*($B$2:$CH$2="H"))&gt;0,1,0))</f>
        <v/>
      </c>
    </row>
    <row r="124" customFormat="false" ht="15" hidden="false" customHeight="false" outlineLevel="0" collapsed="false">
      <c r="CJ124" s="21" t="str">
        <f aca="false">IF(OR($A124="",LOWER(TRIM($A124))="grand total"),"",IF(SUMPRODUCT(($B124:$CH124&gt;0)*($B$2:$CH$2="H"))&gt;0,1,0))</f>
        <v/>
      </c>
    </row>
    <row r="125" customFormat="false" ht="15" hidden="false" customHeight="false" outlineLevel="0" collapsed="false">
      <c r="CJ125" s="21" t="str">
        <f aca="false">IF(OR($A125="",LOWER(TRIM($A125))="grand total"),"",IF(SUMPRODUCT(($B125:$CH125&gt;0)*($B$2:$CH$2="H"))&gt;0,1,0))</f>
        <v/>
      </c>
    </row>
    <row r="126" customFormat="false" ht="15" hidden="false" customHeight="false" outlineLevel="0" collapsed="false">
      <c r="CJ126" s="21" t="str">
        <f aca="false">IF(OR($A126="",LOWER(TRIM($A126))="grand total"),"",IF(SUMPRODUCT(($B126:$CH126&gt;0)*($B$2:$CH$2="H"))&gt;0,1,0))</f>
        <v/>
      </c>
    </row>
    <row r="127" customFormat="false" ht="15" hidden="false" customHeight="false" outlineLevel="0" collapsed="false">
      <c r="CJ127" s="21" t="str">
        <f aca="false">IF(OR($A127="",LOWER(TRIM($A127))="grand total"),"",IF(SUMPRODUCT(($B127:$CH127&gt;0)*($B$2:$CH$2="H"))&gt;0,1,0))</f>
        <v/>
      </c>
    </row>
    <row r="128" customFormat="false" ht="15" hidden="false" customHeight="false" outlineLevel="0" collapsed="false">
      <c r="CJ128" s="21" t="str">
        <f aca="false">IF(OR($A128="",LOWER(TRIM($A128))="grand total"),"",IF(SUMPRODUCT(($B128:$CH128&gt;0)*($B$2:$CH$2="H"))&gt;0,1,0))</f>
        <v/>
      </c>
    </row>
    <row r="129" customFormat="false" ht="15" hidden="false" customHeight="false" outlineLevel="0" collapsed="false">
      <c r="CJ129" s="21" t="str">
        <f aca="false">IF(OR($A129="",LOWER(TRIM($A129))="grand total"),"",IF(SUMPRODUCT(($B129:$CH129&gt;0)*($B$2:$CH$2="H"))&gt;0,1,0))</f>
        <v/>
      </c>
    </row>
    <row r="130" customFormat="false" ht="15" hidden="false" customHeight="false" outlineLevel="0" collapsed="false">
      <c r="CJ130" s="21" t="str">
        <f aca="false">IF(OR($A130="",LOWER(TRIM($A130))="grand total"),"",IF(SUMPRODUCT(($B130:$CH130&gt;0)*($B$2:$CH$2="H"))&gt;0,1,0))</f>
        <v/>
      </c>
    </row>
    <row r="131" customFormat="false" ht="15" hidden="false" customHeight="false" outlineLevel="0" collapsed="false">
      <c r="CJ131" s="21" t="str">
        <f aca="false">IF(OR($A131="",LOWER(TRIM($A131))="grand total"),"",IF(SUMPRODUCT(($B131:$CH131&gt;0)*($B$2:$CH$2="H"))&gt;0,1,0))</f>
        <v/>
      </c>
    </row>
    <row r="132" customFormat="false" ht="15" hidden="false" customHeight="false" outlineLevel="0" collapsed="false">
      <c r="CJ132" s="21" t="str">
        <f aca="false">IF(OR($A132="",LOWER(TRIM($A132))="grand total"),"",IF(SUMPRODUCT(($B132:$CH132&gt;0)*($B$2:$CH$2="H"))&gt;0,1,0))</f>
        <v/>
      </c>
    </row>
    <row r="133" customFormat="false" ht="15" hidden="false" customHeight="false" outlineLevel="0" collapsed="false">
      <c r="CJ133" s="21" t="str">
        <f aca="false">IF(OR($A133="",LOWER(TRIM($A133))="grand total"),"",IF(SUMPRODUCT(($B133:$CH133&gt;0)*($B$2:$CH$2="H"))&gt;0,1,0))</f>
        <v/>
      </c>
    </row>
    <row r="134" customFormat="false" ht="15" hidden="false" customHeight="false" outlineLevel="0" collapsed="false">
      <c r="CJ134" s="21" t="str">
        <f aca="false">IF(OR($A134="",LOWER(TRIM($A134))="grand total"),"",IF(SUMPRODUCT(($B134:$CH134&gt;0)*($B$2:$CH$2="H"))&gt;0,1,0))</f>
        <v/>
      </c>
    </row>
    <row r="135" customFormat="false" ht="15" hidden="false" customHeight="false" outlineLevel="0" collapsed="false">
      <c r="CJ135" s="21" t="str">
        <f aca="false">IF(OR($A135="",LOWER(TRIM($A135))="grand total"),"",IF(SUMPRODUCT(($B135:$CH135&gt;0)*($B$2:$CH$2="H"))&gt;0,1,0))</f>
        <v/>
      </c>
    </row>
    <row r="136" customFormat="false" ht="15" hidden="false" customHeight="false" outlineLevel="0" collapsed="false">
      <c r="CJ136" s="21" t="str">
        <f aca="false">IF(OR($A136="",LOWER(TRIM($A136))="grand total"),"",IF(SUMPRODUCT(($B136:$CH136&gt;0)*($B$2:$CH$2="H"))&gt;0,1,0))</f>
        <v/>
      </c>
    </row>
    <row r="137" customFormat="false" ht="15" hidden="false" customHeight="false" outlineLevel="0" collapsed="false">
      <c r="CJ137" s="21" t="str">
        <f aca="false">IF(OR($A137="",LOWER(TRIM($A137))="grand total"),"",IF(SUMPRODUCT(($B137:$CH137&gt;0)*($B$2:$CH$2="H"))&gt;0,1,0))</f>
        <v/>
      </c>
    </row>
    <row r="138" customFormat="false" ht="15" hidden="false" customHeight="false" outlineLevel="0" collapsed="false">
      <c r="CJ138" s="21" t="str">
        <f aca="false">IF(OR($A138="",LOWER(TRIM($A138))="grand total"),"",IF(SUMPRODUCT(($B138:$CH138&gt;0)*($B$2:$CH$2="H"))&gt;0,1,0))</f>
        <v/>
      </c>
    </row>
    <row r="139" customFormat="false" ht="15" hidden="false" customHeight="false" outlineLevel="0" collapsed="false">
      <c r="CJ139" s="21" t="str">
        <f aca="false">IF(OR($A139="",LOWER(TRIM($A139))="grand total"),"",IF(SUMPRODUCT(($B139:$CH139&gt;0)*($B$2:$CH$2="H"))&gt;0,1,0))</f>
        <v/>
      </c>
    </row>
    <row r="140" customFormat="false" ht="15" hidden="false" customHeight="false" outlineLevel="0" collapsed="false">
      <c r="CJ140" s="21" t="str">
        <f aca="false">IF(OR($A140="",LOWER(TRIM($A140))="grand total"),"",IF(SUMPRODUCT(($B140:$CH140&gt;0)*($B$2:$CH$2="H"))&gt;0,1,0))</f>
        <v/>
      </c>
    </row>
    <row r="141" customFormat="false" ht="15" hidden="false" customHeight="false" outlineLevel="0" collapsed="false">
      <c r="CJ141" s="21" t="str">
        <f aca="false">IF(OR($A141="",LOWER(TRIM($A141))="grand total"),"",IF(SUMPRODUCT(($B141:$CH141&gt;0)*($B$2:$CH$2="H"))&gt;0,1,0))</f>
        <v/>
      </c>
    </row>
    <row r="142" customFormat="false" ht="15" hidden="false" customHeight="false" outlineLevel="0" collapsed="false">
      <c r="CJ142" s="21" t="str">
        <f aca="false">IF(OR($A142="",LOWER(TRIM($A142))="grand total"),"",IF(SUMPRODUCT(($B142:$CH142&gt;0)*($B$2:$CH$2="H"))&gt;0,1,0))</f>
        <v/>
      </c>
    </row>
    <row r="143" customFormat="false" ht="15" hidden="false" customHeight="false" outlineLevel="0" collapsed="false">
      <c r="CJ143" s="21" t="str">
        <f aca="false">IF(OR($A143="",LOWER(TRIM($A143))="grand total"),"",IF(SUMPRODUCT(($B143:$CH143&gt;0)*($B$2:$CH$2="H"))&gt;0,1,0))</f>
        <v/>
      </c>
    </row>
    <row r="144" customFormat="false" ht="15" hidden="false" customHeight="false" outlineLevel="0" collapsed="false">
      <c r="CJ144" s="21" t="str">
        <f aca="false">IF(OR($A144="",LOWER(TRIM($A144))="grand total"),"",IF(SUMPRODUCT(($B144:$CH144&gt;0)*($B$2:$CH$2="H"))&gt;0,1,0))</f>
        <v/>
      </c>
    </row>
    <row r="145" customFormat="false" ht="15" hidden="false" customHeight="false" outlineLevel="0" collapsed="false">
      <c r="CJ145" s="21" t="str">
        <f aca="false">IF(OR($A145="",LOWER(TRIM($A145))="grand total"),"",IF(SUMPRODUCT(($B145:$CH145&gt;0)*($B$2:$CH$2="H"))&gt;0,1,0))</f>
        <v/>
      </c>
    </row>
    <row r="146" customFormat="false" ht="15" hidden="false" customHeight="false" outlineLevel="0" collapsed="false">
      <c r="CJ146" s="21" t="str">
        <f aca="false">IF(OR($A146="",LOWER(TRIM($A146))="grand total"),"",IF(SUMPRODUCT(($B146:$CH146&gt;0)*($B$2:$CH$2="H"))&gt;0,1,0))</f>
        <v/>
      </c>
    </row>
    <row r="147" customFormat="false" ht="15" hidden="false" customHeight="false" outlineLevel="0" collapsed="false">
      <c r="CJ147" s="21" t="str">
        <f aca="false">IF(OR($A147="",LOWER(TRIM($A147))="grand total"),"",IF(SUMPRODUCT(($B147:$CH147&gt;0)*($B$2:$CH$2="H"))&gt;0,1,0))</f>
        <v/>
      </c>
    </row>
    <row r="148" customFormat="false" ht="15" hidden="false" customHeight="false" outlineLevel="0" collapsed="false">
      <c r="CJ148" s="21" t="str">
        <f aca="false">IF(OR($A148="",LOWER(TRIM($A148))="grand total"),"",IF(SUMPRODUCT(($B148:$CH148&gt;0)*($B$2:$CH$2="H"))&gt;0,1,0))</f>
        <v/>
      </c>
    </row>
    <row r="149" customFormat="false" ht="15" hidden="false" customHeight="false" outlineLevel="0" collapsed="false">
      <c r="CJ149" s="21" t="str">
        <f aca="false">IF(OR($A149="",LOWER(TRIM($A149))="grand total"),"",IF(SUMPRODUCT(($B149:$CH149&gt;0)*($B$2:$CH$2="H"))&gt;0,1,0))</f>
        <v/>
      </c>
    </row>
    <row r="150" customFormat="false" ht="15" hidden="false" customHeight="false" outlineLevel="0" collapsed="false">
      <c r="CJ150" s="21" t="str">
        <f aca="false">IF(OR($A150="",LOWER(TRIM($A150))="grand total"),"",IF(SUMPRODUCT(($B150:$CH150&gt;0)*($B$2:$CH$2="H"))&gt;0,1,0))</f>
        <v/>
      </c>
    </row>
    <row r="151" customFormat="false" ht="15" hidden="false" customHeight="false" outlineLevel="0" collapsed="false">
      <c r="CJ151" s="21" t="str">
        <f aca="false">IF(OR($A151="",LOWER(TRIM($A151))="grand total"),"",IF(SUMPRODUCT(($B151:$CH151&gt;0)*($B$2:$CH$2="H"))&gt;0,1,0))</f>
        <v/>
      </c>
    </row>
    <row r="152" customFormat="false" ht="15" hidden="false" customHeight="false" outlineLevel="0" collapsed="false">
      <c r="CJ152" s="21" t="str">
        <f aca="false">IF(OR($A152="",LOWER(TRIM($A152))="grand total"),"",IF(SUMPRODUCT(($B152:$CH152&gt;0)*($B$2:$CH$2="H"))&gt;0,1,0))</f>
        <v/>
      </c>
    </row>
    <row r="153" customFormat="false" ht="15" hidden="false" customHeight="false" outlineLevel="0" collapsed="false">
      <c r="CJ153" s="21" t="str">
        <f aca="false">IF(OR($A153="",LOWER(TRIM($A153))="grand total"),"",IF(SUMPRODUCT(($B153:$CH153&gt;0)*($B$2:$CH$2="H"))&gt;0,1,0))</f>
        <v/>
      </c>
    </row>
    <row r="154" customFormat="false" ht="15" hidden="false" customHeight="false" outlineLevel="0" collapsed="false">
      <c r="CJ154" s="21" t="str">
        <f aca="false">IF(OR($A154="",LOWER(TRIM($A154))="grand total"),"",IF(SUMPRODUCT(($B154:$CH154&gt;0)*($B$2:$CH$2="H"))&gt;0,1,0))</f>
        <v/>
      </c>
    </row>
    <row r="155" customFormat="false" ht="15" hidden="false" customHeight="false" outlineLevel="0" collapsed="false">
      <c r="CJ155" s="21" t="str">
        <f aca="false">IF(OR($A155="",LOWER(TRIM($A155))="grand total"),"",IF(SUMPRODUCT(($B155:$CH155&gt;0)*($B$2:$CH$2="H"))&gt;0,1,0))</f>
        <v/>
      </c>
    </row>
    <row r="156" customFormat="false" ht="15" hidden="false" customHeight="false" outlineLevel="0" collapsed="false">
      <c r="CJ156" s="21" t="str">
        <f aca="false">IF(OR($A156="",LOWER(TRIM($A156))="grand total"),"",IF(SUMPRODUCT(($B156:$CH156&gt;0)*($B$2:$CH$2="H"))&gt;0,1,0))</f>
        <v/>
      </c>
    </row>
    <row r="157" customFormat="false" ht="15" hidden="false" customHeight="false" outlineLevel="0" collapsed="false">
      <c r="CJ157" s="21" t="str">
        <f aca="false">IF(OR($A157="",LOWER(TRIM($A157))="grand total"),"",IF(SUMPRODUCT(($B157:$CH157&gt;0)*($B$2:$CH$2="H"))&gt;0,1,0))</f>
        <v/>
      </c>
    </row>
    <row r="158" customFormat="false" ht="15" hidden="false" customHeight="false" outlineLevel="0" collapsed="false">
      <c r="CJ158" s="21" t="str">
        <f aca="false">IF(OR($A158="",LOWER(TRIM($A158))="grand total"),"",IF(SUMPRODUCT(($B158:$CH158&gt;0)*($B$2:$CH$2="H"))&gt;0,1,0))</f>
        <v/>
      </c>
    </row>
    <row r="159" customFormat="false" ht="15" hidden="false" customHeight="false" outlineLevel="0" collapsed="false">
      <c r="CJ159" s="21" t="str">
        <f aca="false">IF(OR($A159="",LOWER(TRIM($A159))="grand total"),"",IF(SUMPRODUCT(($B159:$CH159&gt;0)*($B$2:$CH$2="H"))&gt;0,1,0))</f>
        <v/>
      </c>
    </row>
    <row r="160" customFormat="false" ht="15" hidden="false" customHeight="false" outlineLevel="0" collapsed="false">
      <c r="CJ160" s="21" t="str">
        <f aca="false">IF(OR($A160="",LOWER(TRIM($A160))="grand total"),"",IF(SUMPRODUCT(($B160:$CH160&gt;0)*($B$2:$CH$2="H"))&gt;0,1,0))</f>
        <v/>
      </c>
    </row>
    <row r="161" customFormat="false" ht="15" hidden="false" customHeight="false" outlineLevel="0" collapsed="false">
      <c r="CJ161" s="21" t="str">
        <f aca="false">IF(OR($A161="",LOWER(TRIM($A161))="grand total"),"",IF(SUMPRODUCT(($B161:$CH161&gt;0)*($B$2:$CH$2="H"))&gt;0,1,0))</f>
        <v/>
      </c>
    </row>
    <row r="162" customFormat="false" ht="15" hidden="false" customHeight="false" outlineLevel="0" collapsed="false">
      <c r="CJ162" s="21" t="str">
        <f aca="false">IF(OR($A162="",LOWER(TRIM($A162))="grand total"),"",IF(SUMPRODUCT(($B162:$CH162&gt;0)*($B$2:$CH$2="H"))&gt;0,1,0))</f>
        <v/>
      </c>
    </row>
    <row r="163" customFormat="false" ht="15" hidden="false" customHeight="false" outlineLevel="0" collapsed="false">
      <c r="CJ163" s="21" t="str">
        <f aca="false">IF(OR($A163="",LOWER(TRIM($A163))="grand total"),"",IF(SUMPRODUCT(($B163:$CH163&gt;0)*($B$2:$CH$2="H"))&gt;0,1,0))</f>
        <v/>
      </c>
    </row>
    <row r="164" customFormat="false" ht="15" hidden="false" customHeight="false" outlineLevel="0" collapsed="false">
      <c r="CJ164" s="21" t="str">
        <f aca="false">IF(OR($A164="",LOWER(TRIM($A164))="grand total"),"",IF(SUMPRODUCT(($B164:$CH164&gt;0)*($B$2:$CH$2="H"))&gt;0,1,0))</f>
        <v/>
      </c>
    </row>
    <row r="165" customFormat="false" ht="15" hidden="false" customHeight="false" outlineLevel="0" collapsed="false">
      <c r="CJ165" s="21" t="str">
        <f aca="false">IF(OR($A165="",LOWER(TRIM($A165))="grand total"),"",IF(SUMPRODUCT(($B165:$CH165&gt;0)*($B$2:$CH$2="H"))&gt;0,1,0))</f>
        <v/>
      </c>
    </row>
    <row r="166" customFormat="false" ht="15" hidden="false" customHeight="false" outlineLevel="0" collapsed="false">
      <c r="CJ166" s="21" t="str">
        <f aca="false">IF(OR($A166="",LOWER(TRIM($A166))="grand total"),"",IF(SUMPRODUCT(($B166:$CH166&gt;0)*($B$2:$CH$2="H"))&gt;0,1,0))</f>
        <v/>
      </c>
    </row>
    <row r="167" customFormat="false" ht="15" hidden="false" customHeight="false" outlineLevel="0" collapsed="false">
      <c r="CJ167" s="21" t="str">
        <f aca="false">IF(OR($A167="",LOWER(TRIM($A167))="grand total"),"",IF(SUMPRODUCT(($B167:$CH167&gt;0)*($B$2:$CH$2="H"))&gt;0,1,0))</f>
        <v/>
      </c>
    </row>
    <row r="168" customFormat="false" ht="15" hidden="false" customHeight="false" outlineLevel="0" collapsed="false">
      <c r="CJ168" s="21" t="str">
        <f aca="false">IF(OR($A168="",LOWER(TRIM($A168))="grand total"),"",IF(SUMPRODUCT(($B168:$CH168&gt;0)*($B$2:$CH$2="H"))&gt;0,1,0))</f>
        <v/>
      </c>
    </row>
    <row r="169" customFormat="false" ht="15" hidden="false" customHeight="false" outlineLevel="0" collapsed="false">
      <c r="CJ169" s="21" t="str">
        <f aca="false">IF(OR($A169="",LOWER(TRIM($A169))="grand total"),"",IF(SUMPRODUCT(($B169:$CH169&gt;0)*($B$2:$CH$2="H"))&gt;0,1,0))</f>
        <v/>
      </c>
    </row>
    <row r="170" customFormat="false" ht="15" hidden="false" customHeight="false" outlineLevel="0" collapsed="false">
      <c r="CJ170" s="21" t="str">
        <f aca="false">IF(OR($A170="",LOWER(TRIM($A170))="grand total"),"",IF(SUMPRODUCT(($B170:$CH170&gt;0)*($B$2:$CH$2="H"))&gt;0,1,0))</f>
        <v/>
      </c>
    </row>
    <row r="171" customFormat="false" ht="15" hidden="false" customHeight="false" outlineLevel="0" collapsed="false">
      <c r="CJ171" s="21" t="str">
        <f aca="false">IF(OR($A171="",LOWER(TRIM($A171))="grand total"),"",IF(SUMPRODUCT(($B171:$CH171&gt;0)*($B$2:$CH$2="H"))&gt;0,1,0))</f>
        <v/>
      </c>
    </row>
    <row r="172" customFormat="false" ht="15" hidden="false" customHeight="false" outlineLevel="0" collapsed="false">
      <c r="CJ172" s="21" t="str">
        <f aca="false">IF(OR($A172="",LOWER(TRIM($A172))="grand total"),"",IF(SUMPRODUCT(($B172:$CH172&gt;0)*($B$2:$CH$2="H"))&gt;0,1,0))</f>
        <v/>
      </c>
    </row>
    <row r="173" customFormat="false" ht="15" hidden="false" customHeight="false" outlineLevel="0" collapsed="false">
      <c r="CJ173" s="21" t="str">
        <f aca="false">IF(OR($A173="",LOWER(TRIM($A173))="grand total"),"",IF(SUMPRODUCT(($B173:$CH173&gt;0)*($B$2:$CH$2="H"))&gt;0,1,0))</f>
        <v/>
      </c>
    </row>
    <row r="174" customFormat="false" ht="15" hidden="false" customHeight="false" outlineLevel="0" collapsed="false">
      <c r="CJ174" s="21" t="str">
        <f aca="false">IF(OR($A174="",LOWER(TRIM($A174))="grand total"),"",IF(SUMPRODUCT(($B174:$CH174&gt;0)*($B$2:$CH$2="H"))&gt;0,1,0))</f>
        <v/>
      </c>
    </row>
    <row r="175" customFormat="false" ht="15" hidden="false" customHeight="false" outlineLevel="0" collapsed="false">
      <c r="CJ175" s="21" t="str">
        <f aca="false">IF(OR($A175="",LOWER(TRIM($A175))="grand total"),"",IF(SUMPRODUCT(($B175:$CH175&gt;0)*($B$2:$CH$2="H"))&gt;0,1,0))</f>
        <v/>
      </c>
    </row>
    <row r="176" customFormat="false" ht="15" hidden="false" customHeight="false" outlineLevel="0" collapsed="false">
      <c r="CJ176" s="21" t="str">
        <f aca="false">IF(OR($A176="",LOWER(TRIM($A176))="grand total"),"",IF(SUMPRODUCT(($B176:$CH176&gt;0)*($B$2:$CH$2="H"))&gt;0,1,0))</f>
        <v/>
      </c>
    </row>
    <row r="177" customFormat="false" ht="15" hidden="false" customHeight="false" outlineLevel="0" collapsed="false">
      <c r="CJ177" s="21" t="str">
        <f aca="false">IF(OR($A177="",LOWER(TRIM($A177))="grand total"),"",IF(SUMPRODUCT(($B177:$CH177&gt;0)*($B$2:$CH$2="H"))&gt;0,1,0))</f>
        <v/>
      </c>
    </row>
    <row r="178" customFormat="false" ht="15" hidden="false" customHeight="false" outlineLevel="0" collapsed="false">
      <c r="CJ178" s="21" t="str">
        <f aca="false">IF(OR($A178="",LOWER(TRIM($A178))="grand total"),"",IF(SUMPRODUCT(($B178:$CH178&gt;0)*($B$2:$CH$2="H"))&gt;0,1,0))</f>
        <v/>
      </c>
    </row>
    <row r="179" customFormat="false" ht="15" hidden="false" customHeight="false" outlineLevel="0" collapsed="false">
      <c r="CJ179" s="21" t="str">
        <f aca="false">IF(OR($A179="",LOWER(TRIM($A179))="grand total"),"",IF(SUMPRODUCT(($B179:$CH179&gt;0)*($B$2:$CH$2="H"))&gt;0,1,0))</f>
        <v/>
      </c>
    </row>
    <row r="180" customFormat="false" ht="15" hidden="false" customHeight="false" outlineLevel="0" collapsed="false">
      <c r="CJ180" s="21" t="str">
        <f aca="false">IF(OR($A180="",LOWER(TRIM($A180))="grand total"),"",IF(SUMPRODUCT(($B180:$CH180&gt;0)*($B$2:$CH$2="H"))&gt;0,1,0))</f>
        <v/>
      </c>
    </row>
    <row r="181" customFormat="false" ht="15" hidden="false" customHeight="false" outlineLevel="0" collapsed="false">
      <c r="CJ181" s="21" t="str">
        <f aca="false">IF(OR($A181="",LOWER(TRIM($A181))="grand total"),"",IF(SUMPRODUCT(($B181:$CH181&gt;0)*($B$2:$CH$2="H"))&gt;0,1,0))</f>
        <v/>
      </c>
    </row>
    <row r="182" customFormat="false" ht="15" hidden="false" customHeight="false" outlineLevel="0" collapsed="false">
      <c r="CJ182" s="21" t="str">
        <f aca="false">IF(OR($A182="",LOWER(TRIM($A182))="grand total"),"",IF(SUMPRODUCT(($B182:$CH182&gt;0)*($B$2:$CH$2="H"))&gt;0,1,0))</f>
        <v/>
      </c>
    </row>
    <row r="183" customFormat="false" ht="15" hidden="false" customHeight="false" outlineLevel="0" collapsed="false">
      <c r="CJ183" s="21" t="str">
        <f aca="false">IF(OR($A183="",LOWER(TRIM($A183))="grand total"),"",IF(SUMPRODUCT(($B183:$CH183&gt;0)*($B$2:$CH$2="H"))&gt;0,1,0))</f>
        <v/>
      </c>
    </row>
    <row r="184" customFormat="false" ht="15" hidden="false" customHeight="false" outlineLevel="0" collapsed="false">
      <c r="CJ184" s="21" t="str">
        <f aca="false">IF(OR($A184="",LOWER(TRIM($A184))="grand total"),"",IF(SUMPRODUCT(($B184:$CH184&gt;0)*($B$2:$CH$2="H"))&gt;0,1,0))</f>
        <v/>
      </c>
    </row>
    <row r="185" customFormat="false" ht="15" hidden="false" customHeight="false" outlineLevel="0" collapsed="false">
      <c r="CJ185" s="21" t="str">
        <f aca="false">IF(OR($A185="",LOWER(TRIM($A185))="grand total"),"",IF(SUMPRODUCT(($B185:$CH185&gt;0)*($B$2:$CH$2="H"))&gt;0,1,0))</f>
        <v/>
      </c>
    </row>
    <row r="186" customFormat="false" ht="15" hidden="false" customHeight="false" outlineLevel="0" collapsed="false">
      <c r="CJ186" s="21" t="str">
        <f aca="false">IF(OR($A186="",LOWER(TRIM($A186))="grand total"),"",IF(SUMPRODUCT(($B186:$CH186&gt;0)*($B$2:$CH$2="H"))&gt;0,1,0))</f>
        <v/>
      </c>
    </row>
    <row r="187" customFormat="false" ht="15" hidden="false" customHeight="false" outlineLevel="0" collapsed="false">
      <c r="CJ187" s="21" t="str">
        <f aca="false">IF(OR($A187="",LOWER(TRIM($A187))="grand total"),"",IF(SUMPRODUCT(($B187:$CH187&gt;0)*($B$2:$CH$2="H"))&gt;0,1,0))</f>
        <v/>
      </c>
    </row>
    <row r="188" customFormat="false" ht="15" hidden="false" customHeight="false" outlineLevel="0" collapsed="false">
      <c r="CJ188" s="21" t="str">
        <f aca="false">IF(OR($A188="",LOWER(TRIM($A188))="grand total"),"",IF(SUMPRODUCT(($B188:$CH188&gt;0)*($B$2:$CH$2="H"))&gt;0,1,0))</f>
        <v/>
      </c>
    </row>
    <row r="189" customFormat="false" ht="15" hidden="false" customHeight="false" outlineLevel="0" collapsed="false">
      <c r="CJ189" s="21" t="str">
        <f aca="false">IF(OR($A189="",LOWER(TRIM($A189))="grand total"),"",IF(SUMPRODUCT(($B189:$CH189&gt;0)*($B$2:$CH$2="H"))&gt;0,1,0))</f>
        <v/>
      </c>
    </row>
    <row r="190" customFormat="false" ht="15" hidden="false" customHeight="false" outlineLevel="0" collapsed="false">
      <c r="CJ190" s="21" t="str">
        <f aca="false">IF(OR($A190="",LOWER(TRIM($A190))="grand total"),"",IF(SUMPRODUCT(($B190:$CH190&gt;0)*($B$2:$CH$2="H"))&gt;0,1,0))</f>
        <v/>
      </c>
    </row>
    <row r="191" customFormat="false" ht="15" hidden="false" customHeight="false" outlineLevel="0" collapsed="false">
      <c r="CJ191" s="21" t="str">
        <f aca="false">IF(OR($A191="",LOWER(TRIM($A191))="grand total"),"",IF(SUMPRODUCT(($B191:$CH191&gt;0)*($B$2:$CH$2="H"))&gt;0,1,0))</f>
        <v/>
      </c>
    </row>
    <row r="192" customFormat="false" ht="15" hidden="false" customHeight="false" outlineLevel="0" collapsed="false">
      <c r="CJ192" s="21" t="str">
        <f aca="false">IF(OR($A192="",LOWER(TRIM($A192))="grand total"),"",IF(SUMPRODUCT(($B192:$CH192&gt;0)*($B$2:$CH$2="H"))&gt;0,1,0))</f>
        <v/>
      </c>
    </row>
    <row r="193" customFormat="false" ht="15" hidden="false" customHeight="false" outlineLevel="0" collapsed="false">
      <c r="CJ193" s="21" t="str">
        <f aca="false">IF(OR($A193="",LOWER(TRIM($A193))="grand total"),"",IF(SUMPRODUCT(($B193:$CH193&gt;0)*($B$2:$CH$2="H"))&gt;0,1,0))</f>
        <v/>
      </c>
    </row>
    <row r="194" customFormat="false" ht="15" hidden="false" customHeight="false" outlineLevel="0" collapsed="false">
      <c r="CJ194" s="21" t="str">
        <f aca="false">IF(OR($A194="",LOWER(TRIM($A194))="grand total"),"",IF(SUMPRODUCT(($B194:$CH194&gt;0)*($B$2:$CH$2="H"))&gt;0,1,0))</f>
        <v/>
      </c>
    </row>
    <row r="195" customFormat="false" ht="15" hidden="false" customHeight="false" outlineLevel="0" collapsed="false">
      <c r="CJ195" s="21" t="str">
        <f aca="false">IF(OR($A195="",LOWER(TRIM($A195))="grand total"),"",IF(SUMPRODUCT(($B195:$CH195&gt;0)*($B$2:$CH$2="H"))&gt;0,1,0))</f>
        <v/>
      </c>
    </row>
    <row r="196" customFormat="false" ht="15" hidden="false" customHeight="false" outlineLevel="0" collapsed="false">
      <c r="CJ196" s="21" t="str">
        <f aca="false">IF(OR($A196="",LOWER(TRIM($A196))="grand total"),"",IF(SUMPRODUCT(($B196:$CH196&gt;0)*($B$2:$CH$2="H"))&gt;0,1,0))</f>
        <v/>
      </c>
    </row>
    <row r="197" customFormat="false" ht="15" hidden="false" customHeight="false" outlineLevel="0" collapsed="false">
      <c r="CJ197" s="21" t="str">
        <f aca="false">IF(OR($A197="",LOWER(TRIM($A197))="grand total"),"",IF(SUMPRODUCT(($B197:$CH197&gt;0)*($B$2:$CH$2="H"))&gt;0,1,0))</f>
        <v/>
      </c>
    </row>
    <row r="198" customFormat="false" ht="15" hidden="false" customHeight="false" outlineLevel="0" collapsed="false">
      <c r="CJ198" s="21" t="str">
        <f aca="false">IF(OR($A198="",LOWER(TRIM($A198))="grand total"),"",IF(SUMPRODUCT(($B198:$CH198&gt;0)*($B$2:$CH$2="H"))&gt;0,1,0))</f>
        <v/>
      </c>
    </row>
    <row r="199" customFormat="false" ht="15" hidden="false" customHeight="false" outlineLevel="0" collapsed="false">
      <c r="CJ199" s="21" t="str">
        <f aca="false">IF(OR($A199="",LOWER(TRIM($A199))="grand total"),"",IF(SUMPRODUCT(($B199:$CH199&gt;0)*($B$2:$CH$2="H"))&gt;0,1,0))</f>
        <v/>
      </c>
    </row>
    <row r="200" customFormat="false" ht="15" hidden="false" customHeight="false" outlineLevel="0" collapsed="false">
      <c r="CJ200" s="21" t="str">
        <f aca="false">IF(OR($A200="",LOWER(TRIM($A200))="grand total"),"",IF(SUMPRODUCT(($B200:$CH200&gt;0)*($B$2:$CH$2="H"))&gt;0,1,0))</f>
        <v/>
      </c>
    </row>
    <row r="201" customFormat="false" ht="15" hidden="false" customHeight="false" outlineLevel="0" collapsed="false">
      <c r="CJ201" s="21" t="str">
        <f aca="false">IF(OR($A201="",LOWER(TRIM($A201))="grand total"),"",IF(SUMPRODUCT(($B201:$CH201&gt;0)*($B$2:$CH$2="H"))&gt;0,1,0))</f>
        <v/>
      </c>
    </row>
    <row r="202" customFormat="false" ht="15" hidden="false" customHeight="false" outlineLevel="0" collapsed="false">
      <c r="CJ202" s="21" t="str">
        <f aca="false">IF(OR($A202="",LOWER(TRIM($A202))="grand total"),"",IF(SUMPRODUCT(($B202:$CH202&gt;0)*($B$2:$CH$2="H"))&gt;0,1,0))</f>
        <v/>
      </c>
    </row>
    <row r="203" customFormat="false" ht="15" hidden="false" customHeight="false" outlineLevel="0" collapsed="false">
      <c r="CJ203" s="21" t="str">
        <f aca="false">IF(OR($A203="",LOWER(TRIM($A203))="grand total"),"",IF(SUMPRODUCT(($B203:$CH203&gt;0)*($B$2:$CH$2="H"))&gt;0,1,0))</f>
        <v/>
      </c>
    </row>
    <row r="204" customFormat="false" ht="15" hidden="false" customHeight="false" outlineLevel="0" collapsed="false">
      <c r="CJ204" s="21" t="str">
        <f aca="false">IF(OR($A204="",LOWER(TRIM($A204))="grand total"),"",IF(SUMPRODUCT(($B204:$CH204&gt;0)*($B$2:$CH$2="H"))&gt;0,1,0))</f>
        <v/>
      </c>
    </row>
    <row r="205" customFormat="false" ht="15" hidden="false" customHeight="false" outlineLevel="0" collapsed="false">
      <c r="CJ205" s="21" t="str">
        <f aca="false">IF(OR($A205="",LOWER(TRIM($A205))="grand total"),"",IF(SUMPRODUCT(($B205:$CH205&gt;0)*($B$2:$CH$2="H"))&gt;0,1,0))</f>
        <v/>
      </c>
    </row>
    <row r="206" customFormat="false" ht="15" hidden="false" customHeight="false" outlineLevel="0" collapsed="false">
      <c r="CJ206" s="21" t="str">
        <f aca="false">IF(OR($A206="",LOWER(TRIM($A206))="grand total"),"",IF(SUMPRODUCT(($B206:$CH206&gt;0)*($B$2:$CH$2="H"))&gt;0,1,0))</f>
        <v/>
      </c>
    </row>
    <row r="207" customFormat="false" ht="15" hidden="false" customHeight="false" outlineLevel="0" collapsed="false">
      <c r="CJ207" s="21" t="str">
        <f aca="false">IF(OR($A207="",LOWER(TRIM($A207))="grand total"),"",IF(SUMPRODUCT(($B207:$CH207&gt;0)*($B$2:$CH$2="H"))&gt;0,1,0))</f>
        <v/>
      </c>
    </row>
    <row r="208" customFormat="false" ht="15" hidden="false" customHeight="false" outlineLevel="0" collapsed="false">
      <c r="CJ208" s="21" t="str">
        <f aca="false">IF(OR($A208="",LOWER(TRIM($A208))="grand total"),"",IF(SUMPRODUCT(($B208:$CH208&gt;0)*($B$2:$CH$2="H"))&gt;0,1,0))</f>
        <v/>
      </c>
    </row>
    <row r="209" customFormat="false" ht="15" hidden="false" customHeight="false" outlineLevel="0" collapsed="false">
      <c r="CJ209" s="21" t="str">
        <f aca="false">IF(OR($A209="",LOWER(TRIM($A209))="grand total"),"",IF(SUMPRODUCT(($B209:$CH209&gt;0)*($B$2:$CH$2="H"))&gt;0,1,0))</f>
        <v/>
      </c>
    </row>
    <row r="210" customFormat="false" ht="15" hidden="false" customHeight="false" outlineLevel="0" collapsed="false">
      <c r="CJ210" s="21" t="str">
        <f aca="false">IF(OR($A210="",LOWER(TRIM($A210))="grand total"),"",IF(SUMPRODUCT(($B210:$CH210&gt;0)*($B$2:$CH$2="H"))&gt;0,1,0))</f>
        <v/>
      </c>
    </row>
    <row r="211" customFormat="false" ht="15" hidden="false" customHeight="false" outlineLevel="0" collapsed="false">
      <c r="CJ211" s="21" t="str">
        <f aca="false">IF(OR($A211="",LOWER(TRIM($A211))="grand total"),"",IF(SUMPRODUCT(($B211:$CH211&gt;0)*($B$2:$CH$2="H"))&gt;0,1,0))</f>
        <v/>
      </c>
    </row>
    <row r="212" customFormat="false" ht="15" hidden="false" customHeight="false" outlineLevel="0" collapsed="false">
      <c r="CJ212" s="21" t="str">
        <f aca="false">IF(OR($A212="",LOWER(TRIM($A212))="grand total"),"",IF(SUMPRODUCT(($B212:$CH212&gt;0)*($B$2:$CH$2="H"))&gt;0,1,0))</f>
        <v/>
      </c>
    </row>
    <row r="213" customFormat="false" ht="15" hidden="false" customHeight="false" outlineLevel="0" collapsed="false">
      <c r="CJ213" s="21" t="str">
        <f aca="false">IF(OR($A213="",LOWER(TRIM($A213))="grand total"),"",IF(SUMPRODUCT(($B213:$CH213&gt;0)*($B$2:$CH$2="H"))&gt;0,1,0))</f>
        <v/>
      </c>
    </row>
    <row r="214" customFormat="false" ht="15" hidden="false" customHeight="false" outlineLevel="0" collapsed="false">
      <c r="CJ214" s="21" t="str">
        <f aca="false">IF(OR($A214="",LOWER(TRIM($A214))="grand total"),"",IF(SUMPRODUCT(($B214:$CH214&gt;0)*($B$2:$CH$2="H"))&gt;0,1,0))</f>
        <v/>
      </c>
    </row>
    <row r="215" customFormat="false" ht="15" hidden="false" customHeight="false" outlineLevel="0" collapsed="false">
      <c r="CJ215" s="21" t="str">
        <f aca="false">IF(OR($A215="",LOWER(TRIM($A215))="grand total"),"",IF(SUMPRODUCT(($B215:$CH215&gt;0)*($B$2:$CH$2="H"))&gt;0,1,0))</f>
        <v/>
      </c>
    </row>
    <row r="216" customFormat="false" ht="15" hidden="false" customHeight="false" outlineLevel="0" collapsed="false">
      <c r="CJ216" s="21" t="str">
        <f aca="false">IF(OR($A216="",LOWER(TRIM($A216))="grand total"),"",IF(SUMPRODUCT(($B216:$CH216&gt;0)*($B$2:$CH$2="H"))&gt;0,1,0))</f>
        <v/>
      </c>
    </row>
    <row r="217" customFormat="false" ht="15" hidden="false" customHeight="false" outlineLevel="0" collapsed="false">
      <c r="CJ217" s="21" t="str">
        <f aca="false">IF(OR($A217="",LOWER(TRIM($A217))="grand total"),"",IF(SUMPRODUCT(($B217:$CH217&gt;0)*($B$2:$CH$2="H"))&gt;0,1,0))</f>
        <v/>
      </c>
    </row>
    <row r="218" customFormat="false" ht="15" hidden="false" customHeight="false" outlineLevel="0" collapsed="false">
      <c r="CJ218" s="21" t="str">
        <f aca="false">IF(OR($A218="",LOWER(TRIM($A218))="grand total"),"",IF(SUMPRODUCT(($B218:$CH218&gt;0)*($B$2:$CH$2="H"))&gt;0,1,0))</f>
        <v/>
      </c>
    </row>
    <row r="219" customFormat="false" ht="15" hidden="false" customHeight="false" outlineLevel="0" collapsed="false">
      <c r="CJ219" s="21" t="str">
        <f aca="false">IF(OR($A219="",LOWER(TRIM($A219))="grand total"),"",IF(SUMPRODUCT(($B219:$CH219&gt;0)*($B$2:$CH$2="H"))&gt;0,1,0))</f>
        <v/>
      </c>
    </row>
    <row r="220" customFormat="false" ht="15" hidden="false" customHeight="false" outlineLevel="0" collapsed="false">
      <c r="CJ220" s="21" t="str">
        <f aca="false">IF(OR($A220="",LOWER(TRIM($A220))="grand total"),"",IF(SUMPRODUCT(($B220:$CH220&gt;0)*($B$2:$CH$2="H"))&gt;0,1,0))</f>
        <v/>
      </c>
    </row>
    <row r="221" customFormat="false" ht="15" hidden="false" customHeight="false" outlineLevel="0" collapsed="false">
      <c r="CJ221" s="21" t="str">
        <f aca="false">IF(OR($A221="",LOWER(TRIM($A221))="grand total"),"",IF(SUMPRODUCT(($B221:$CH221&gt;0)*($B$2:$CH$2="H"))&gt;0,1,0))</f>
        <v/>
      </c>
    </row>
    <row r="222" customFormat="false" ht="15" hidden="false" customHeight="false" outlineLevel="0" collapsed="false">
      <c r="CJ222" s="21" t="str">
        <f aca="false">IF(OR($A222="",LOWER(TRIM($A222))="grand total"),"",IF(SUMPRODUCT(($B222:$CH222&gt;0)*($B$2:$CH$2="H"))&gt;0,1,0))</f>
        <v/>
      </c>
    </row>
    <row r="223" customFormat="false" ht="15" hidden="false" customHeight="false" outlineLevel="0" collapsed="false">
      <c r="CJ223" s="21" t="str">
        <f aca="false">IF(OR($A223="",LOWER(TRIM($A223))="grand total"),"",IF(SUMPRODUCT(($B223:$CH223&gt;0)*($B$2:$CH$2="H"))&gt;0,1,0))</f>
        <v/>
      </c>
    </row>
    <row r="224" customFormat="false" ht="15" hidden="false" customHeight="false" outlineLevel="0" collapsed="false">
      <c r="CJ224" s="21" t="str">
        <f aca="false">IF(OR($A224="",LOWER(TRIM($A224))="grand total"),"",IF(SUMPRODUCT(($B224:$CH224&gt;0)*($B$2:$CH$2="H"))&gt;0,1,0))</f>
        <v/>
      </c>
    </row>
    <row r="225" customFormat="false" ht="15" hidden="false" customHeight="false" outlineLevel="0" collapsed="false">
      <c r="CJ225" s="21" t="str">
        <f aca="false">IF(OR($A225="",LOWER(TRIM($A225))="grand total"),"",IF(SUMPRODUCT(($B225:$CH225&gt;0)*($B$2:$CH$2="H"))&gt;0,1,0))</f>
        <v/>
      </c>
    </row>
    <row r="226" customFormat="false" ht="15" hidden="false" customHeight="false" outlineLevel="0" collapsed="false">
      <c r="CJ226" s="21" t="str">
        <f aca="false">IF(OR($A226="",LOWER(TRIM($A226))="grand total"),"",IF(SUMPRODUCT(($B226:$CH226&gt;0)*($B$2:$CH$2="H"))&gt;0,1,0))</f>
        <v/>
      </c>
    </row>
    <row r="227" customFormat="false" ht="15" hidden="false" customHeight="false" outlineLevel="0" collapsed="false">
      <c r="CJ227" s="21" t="str">
        <f aca="false">IF(OR($A227="",LOWER(TRIM($A227))="grand total"),"",IF(SUMPRODUCT(($B227:$CH227&gt;0)*($B$2:$CH$2="H"))&gt;0,1,0))</f>
        <v/>
      </c>
    </row>
    <row r="228" customFormat="false" ht="15" hidden="false" customHeight="false" outlineLevel="0" collapsed="false">
      <c r="CJ228" s="21" t="str">
        <f aca="false">IF(OR($A228="",LOWER(TRIM($A228))="grand total"),"",IF(SUMPRODUCT(($B228:$CH228&gt;0)*($B$2:$CH$2="H"))&gt;0,1,0))</f>
        <v/>
      </c>
    </row>
    <row r="229" customFormat="false" ht="15" hidden="false" customHeight="false" outlineLevel="0" collapsed="false">
      <c r="CJ229" s="21" t="str">
        <f aca="false">IF(OR($A229="",LOWER(TRIM($A229))="grand total"),"",IF(SUMPRODUCT(($B229:$CH229&gt;0)*($B$2:$CH$2="H"))&gt;0,1,0))</f>
        <v/>
      </c>
    </row>
    <row r="230" customFormat="false" ht="15" hidden="false" customHeight="false" outlineLevel="0" collapsed="false">
      <c r="CJ230" s="21" t="str">
        <f aca="false">IF(OR($A230="",LOWER(TRIM($A230))="grand total"),"",IF(SUMPRODUCT(($B230:$CH230&gt;0)*($B$2:$CH$2="H"))&gt;0,1,0))</f>
        <v/>
      </c>
    </row>
    <row r="231" customFormat="false" ht="15" hidden="false" customHeight="false" outlineLevel="0" collapsed="false">
      <c r="CJ231" s="21" t="str">
        <f aca="false">IF(OR($A231="",LOWER(TRIM($A231))="grand total"),"",IF(SUMPRODUCT(($B231:$CH231&gt;0)*($B$2:$CH$2="H"))&gt;0,1,0))</f>
        <v/>
      </c>
    </row>
    <row r="232" customFormat="false" ht="15" hidden="false" customHeight="false" outlineLevel="0" collapsed="false">
      <c r="CJ232" s="21" t="str">
        <f aca="false">IF(OR($A232="",LOWER(TRIM($A232))="grand total"),"",IF(SUMPRODUCT(($B232:$CH232&gt;0)*($B$2:$CH$2="H"))&gt;0,1,0))</f>
        <v/>
      </c>
    </row>
    <row r="233" customFormat="false" ht="15" hidden="false" customHeight="false" outlineLevel="0" collapsed="false">
      <c r="CJ233" s="21" t="str">
        <f aca="false">IF(OR($A233="",LOWER(TRIM($A233))="grand total"),"",IF(SUMPRODUCT(($B233:$CH233&gt;0)*($B$2:$CH$2="H"))&gt;0,1,0))</f>
        <v/>
      </c>
    </row>
    <row r="234" customFormat="false" ht="15" hidden="false" customHeight="false" outlineLevel="0" collapsed="false">
      <c r="CJ234" s="21" t="str">
        <f aca="false">IF(OR($A234="",LOWER(TRIM($A234))="grand total"),"",IF(SUMPRODUCT(($B234:$CH234&gt;0)*($B$2:$CH$2="H"))&gt;0,1,0))</f>
        <v/>
      </c>
    </row>
    <row r="235" customFormat="false" ht="15" hidden="false" customHeight="false" outlineLevel="0" collapsed="false">
      <c r="CJ235" s="21" t="str">
        <f aca="false">IF(OR($A235="",LOWER(TRIM($A235))="grand total"),"",IF(SUMPRODUCT(($B235:$CH235&gt;0)*($B$2:$CH$2="H"))&gt;0,1,0))</f>
        <v/>
      </c>
    </row>
    <row r="236" customFormat="false" ht="15" hidden="false" customHeight="false" outlineLevel="0" collapsed="false">
      <c r="CJ236" s="21" t="str">
        <f aca="false">IF(OR($A236="",LOWER(TRIM($A236))="grand total"),"",IF(SUMPRODUCT(($B236:$CH236&gt;0)*($B$2:$CH$2="H"))&gt;0,1,0))</f>
        <v/>
      </c>
    </row>
    <row r="237" customFormat="false" ht="15" hidden="false" customHeight="false" outlineLevel="0" collapsed="false">
      <c r="CJ237" s="21" t="str">
        <f aca="false">IF(OR($A237="",LOWER(TRIM($A237))="grand total"),"",IF(SUMPRODUCT(($B237:$CH237&gt;0)*($B$2:$CH$2="H"))&gt;0,1,0))</f>
        <v/>
      </c>
    </row>
    <row r="238" customFormat="false" ht="15" hidden="false" customHeight="false" outlineLevel="0" collapsed="false">
      <c r="CJ238" s="21" t="str">
        <f aca="false">IF(OR($A238="",LOWER(TRIM($A238))="grand total"),"",IF(SUMPRODUCT(($B238:$CH238&gt;0)*($B$2:$CH$2="H"))&gt;0,1,0))</f>
        <v/>
      </c>
    </row>
    <row r="239" customFormat="false" ht="15" hidden="false" customHeight="false" outlineLevel="0" collapsed="false">
      <c r="CJ239" s="21" t="str">
        <f aca="false">IF(OR($A239="",LOWER(TRIM($A239))="grand total"),"",IF(SUMPRODUCT(($B239:$CH239&gt;0)*($B$2:$CH$2="H"))&gt;0,1,0))</f>
        <v/>
      </c>
    </row>
    <row r="240" customFormat="false" ht="15" hidden="false" customHeight="false" outlineLevel="0" collapsed="false">
      <c r="CJ240" s="21" t="str">
        <f aca="false">IF(OR($A240="",LOWER(TRIM($A240))="grand total"),"",IF(SUMPRODUCT(($B240:$CH240&gt;0)*($B$2:$CH$2="H"))&gt;0,1,0))</f>
        <v/>
      </c>
    </row>
    <row r="241" customFormat="false" ht="15" hidden="false" customHeight="false" outlineLevel="0" collapsed="false">
      <c r="CJ241" s="21" t="str">
        <f aca="false">IF(OR($A241="",LOWER(TRIM($A241))="grand total"),"",IF(SUMPRODUCT(($B241:$CH241&gt;0)*($B$2:$CH$2="H"))&gt;0,1,0))</f>
        <v/>
      </c>
    </row>
    <row r="242" customFormat="false" ht="15" hidden="false" customHeight="false" outlineLevel="0" collapsed="false">
      <c r="CJ242" s="21" t="str">
        <f aca="false">IF(OR($A242="",LOWER(TRIM($A242))="grand total"),"",IF(SUMPRODUCT(($B242:$CH242&gt;0)*($B$2:$CH$2="H"))&gt;0,1,0))</f>
        <v/>
      </c>
    </row>
    <row r="243" customFormat="false" ht="15" hidden="false" customHeight="false" outlineLevel="0" collapsed="false">
      <c r="CJ243" s="21" t="str">
        <f aca="false">IF(OR($A243="",LOWER(TRIM($A243))="grand total"),"",IF(SUMPRODUCT(($B243:$CH243&gt;0)*($B$2:$CH$2="H"))&gt;0,1,0))</f>
        <v/>
      </c>
    </row>
    <row r="244" customFormat="false" ht="15" hidden="false" customHeight="false" outlineLevel="0" collapsed="false">
      <c r="CJ244" s="21" t="str">
        <f aca="false">IF(OR($A244="",LOWER(TRIM($A244))="grand total"),"",IF(SUMPRODUCT(($B244:$CH244&gt;0)*($B$2:$CH$2="H"))&gt;0,1,0))</f>
        <v/>
      </c>
    </row>
    <row r="245" customFormat="false" ht="15" hidden="false" customHeight="false" outlineLevel="0" collapsed="false">
      <c r="CJ245" s="21" t="str">
        <f aca="false">IF(OR($A245="",LOWER(TRIM($A245))="grand total"),"",IF(SUMPRODUCT(($B245:$CH245&gt;0)*($B$2:$CH$2="H"))&gt;0,1,0))</f>
        <v/>
      </c>
    </row>
    <row r="246" customFormat="false" ht="15" hidden="false" customHeight="false" outlineLevel="0" collapsed="false">
      <c r="CJ246" s="21" t="str">
        <f aca="false">IF(OR($A246="",LOWER(TRIM($A246))="grand total"),"",IF(SUMPRODUCT(($B246:$CH246&gt;0)*($B$2:$CH$2="H"))&gt;0,1,0))</f>
        <v/>
      </c>
    </row>
    <row r="247" customFormat="false" ht="15" hidden="false" customHeight="false" outlineLevel="0" collapsed="false">
      <c r="CJ247" s="21" t="str">
        <f aca="false">IF(OR($A247="",LOWER(TRIM($A247))="grand total"),"",IF(SUMPRODUCT(($B247:$CH247&gt;0)*($B$2:$CH$2="H"))&gt;0,1,0))</f>
        <v/>
      </c>
    </row>
    <row r="248" customFormat="false" ht="15" hidden="false" customHeight="false" outlineLevel="0" collapsed="false">
      <c r="CJ248" s="21" t="str">
        <f aca="false">IF(OR($A248="",LOWER(TRIM($A248))="grand total"),"",IF(SUMPRODUCT(($B248:$CH248&gt;0)*($B$2:$CH$2="H"))&gt;0,1,0))</f>
        <v/>
      </c>
    </row>
    <row r="249" customFormat="false" ht="15" hidden="false" customHeight="false" outlineLevel="0" collapsed="false">
      <c r="CJ249" s="21" t="str">
        <f aca="false">IF(OR($A249="",LOWER(TRIM($A249))="grand total"),"",IF(SUMPRODUCT(($B249:$CH249&gt;0)*($B$2:$CH$2="H"))&gt;0,1,0))</f>
        <v/>
      </c>
    </row>
    <row r="250" customFormat="false" ht="15" hidden="false" customHeight="false" outlineLevel="0" collapsed="false">
      <c r="CJ250" s="21" t="str">
        <f aca="false">IF(OR($A250="",LOWER(TRIM($A250))="grand total"),"",IF(SUMPRODUCT(($B250:$CH250&gt;0)*($B$2:$CH$2="H"))&gt;0,1,0))</f>
        <v/>
      </c>
    </row>
    <row r="251" customFormat="false" ht="15" hidden="false" customHeight="false" outlineLevel="0" collapsed="false">
      <c r="CJ251" s="21" t="str">
        <f aca="false">IF(OR($A251="",LOWER(TRIM($A251))="grand total"),"",IF(SUMPRODUCT(($B251:$CH251&gt;0)*($B$2:$CH$2="H"))&gt;0,1,0))</f>
        <v/>
      </c>
    </row>
    <row r="252" customFormat="false" ht="15" hidden="false" customHeight="false" outlineLevel="0" collapsed="false">
      <c r="CJ252" s="21" t="str">
        <f aca="false">IF(OR($A252="",LOWER(TRIM($A252))="grand total"),"",IF(SUMPRODUCT(($B252:$CH252&gt;0)*($B$2:$CH$2="H"))&gt;0,1,0))</f>
        <v/>
      </c>
    </row>
    <row r="253" customFormat="false" ht="15" hidden="false" customHeight="false" outlineLevel="0" collapsed="false">
      <c r="CJ253" s="21" t="str">
        <f aca="false">IF(OR($A253="",LOWER(TRIM($A253))="grand total"),"",IF(SUMPRODUCT(($B253:$CH253&gt;0)*($B$2:$CH$2="H"))&gt;0,1,0))</f>
        <v/>
      </c>
    </row>
    <row r="254" customFormat="false" ht="15" hidden="false" customHeight="false" outlineLevel="0" collapsed="false">
      <c r="CJ254" s="21" t="str">
        <f aca="false">IF(OR($A254="",LOWER(TRIM($A254))="grand total"),"",IF(SUMPRODUCT(($B254:$CH254&gt;0)*($B$2:$CH$2="H"))&gt;0,1,0))</f>
        <v/>
      </c>
    </row>
    <row r="255" customFormat="false" ht="15" hidden="false" customHeight="false" outlineLevel="0" collapsed="false">
      <c r="CJ255" s="21" t="str">
        <f aca="false">IF(OR($A255="",LOWER(TRIM($A255))="grand total"),"",IF(SUMPRODUCT(($B255:$CH255&gt;0)*($B$2:$CH$2="H"))&gt;0,1,0))</f>
        <v/>
      </c>
    </row>
    <row r="256" customFormat="false" ht="15" hidden="false" customHeight="false" outlineLevel="0" collapsed="false">
      <c r="CJ256" s="21" t="str">
        <f aca="false">IF(OR($A256="",LOWER(TRIM($A256))="grand total"),"",IF(SUMPRODUCT(($B256:$CH256&gt;0)*($B$2:$CH$2="H"))&gt;0,1,0))</f>
        <v/>
      </c>
    </row>
    <row r="257" customFormat="false" ht="15" hidden="false" customHeight="false" outlineLevel="0" collapsed="false">
      <c r="CJ257" s="21" t="str">
        <f aca="false">IF(OR($A257="",LOWER(TRIM($A257))="grand total"),"",IF(SUMPRODUCT(($B257:$CH257&gt;0)*($B$2:$CH$2="H"))&gt;0,1,0))</f>
        <v/>
      </c>
    </row>
    <row r="258" customFormat="false" ht="15" hidden="false" customHeight="false" outlineLevel="0" collapsed="false">
      <c r="CJ258" s="21" t="str">
        <f aca="false">IF(OR($A258="",LOWER(TRIM($A258))="grand total"),"",IF(SUMPRODUCT(($B258:$CH258&gt;0)*($B$2:$CH$2="H"))&gt;0,1,0))</f>
        <v/>
      </c>
    </row>
    <row r="259" customFormat="false" ht="15" hidden="false" customHeight="false" outlineLevel="0" collapsed="false">
      <c r="CJ259" s="21" t="str">
        <f aca="false">IF(OR($A259="",LOWER(TRIM($A259))="grand total"),"",IF(SUMPRODUCT(($B259:$CH259&gt;0)*($B$2:$CH$2="H"))&gt;0,1,0))</f>
        <v/>
      </c>
    </row>
    <row r="260" customFormat="false" ht="15" hidden="false" customHeight="false" outlineLevel="0" collapsed="false">
      <c r="CJ260" s="21" t="str">
        <f aca="false">IF(OR($A260="",LOWER(TRIM($A260))="grand total"),"",IF(SUMPRODUCT(($B260:$CH260&gt;0)*($B$2:$CH$2="H"))&gt;0,1,0))</f>
        <v/>
      </c>
    </row>
    <row r="261" customFormat="false" ht="15" hidden="false" customHeight="false" outlineLevel="0" collapsed="false">
      <c r="CJ261" s="21" t="str">
        <f aca="false">IF(OR($A261="",LOWER(TRIM($A261))="grand total"),"",IF(SUMPRODUCT(($B261:$CH261&gt;0)*($B$2:$CH$2="H"))&gt;0,1,0))</f>
        <v/>
      </c>
    </row>
    <row r="262" customFormat="false" ht="15" hidden="false" customHeight="false" outlineLevel="0" collapsed="false">
      <c r="CJ262" s="21" t="str">
        <f aca="false">IF(OR($A262="",LOWER(TRIM($A262))="grand total"),"",IF(SUMPRODUCT(($B262:$CH262&gt;0)*($B$2:$CH$2="H"))&gt;0,1,0))</f>
        <v/>
      </c>
    </row>
    <row r="263" customFormat="false" ht="15" hidden="false" customHeight="false" outlineLevel="0" collapsed="false">
      <c r="CJ263" s="21" t="str">
        <f aca="false">IF(OR($A263="",LOWER(TRIM($A263))="grand total"),"",IF(SUMPRODUCT(($B263:$CH263&gt;0)*($B$2:$CH$2="H"))&gt;0,1,0))</f>
        <v/>
      </c>
    </row>
    <row r="264" customFormat="false" ht="15" hidden="false" customHeight="false" outlineLevel="0" collapsed="false">
      <c r="CJ264" s="21" t="str">
        <f aca="false">IF(OR($A264="",LOWER(TRIM($A264))="grand total"),"",IF(SUMPRODUCT(($B264:$CH264&gt;0)*($B$2:$CH$2="H"))&gt;0,1,0))</f>
        <v/>
      </c>
    </row>
    <row r="265" customFormat="false" ht="15" hidden="false" customHeight="false" outlineLevel="0" collapsed="false">
      <c r="CJ265" s="21" t="str">
        <f aca="false">IF(OR($A265="",LOWER(TRIM($A265))="grand total"),"",IF(SUMPRODUCT(($B265:$CH265&gt;0)*($B$2:$CH$2="H"))&gt;0,1,0))</f>
        <v/>
      </c>
    </row>
    <row r="266" customFormat="false" ht="15" hidden="false" customHeight="false" outlineLevel="0" collapsed="false">
      <c r="CJ266" s="21" t="str">
        <f aca="false">IF(OR($A266="",LOWER(TRIM($A266))="grand total"),"",IF(SUMPRODUCT(($B266:$CH266&gt;0)*($B$2:$CH$2="H"))&gt;0,1,0))</f>
        <v/>
      </c>
    </row>
    <row r="267" customFormat="false" ht="15" hidden="false" customHeight="false" outlineLevel="0" collapsed="false">
      <c r="CJ267" s="21" t="str">
        <f aca="false">IF(OR($A267="",LOWER(TRIM($A267))="grand total"),"",IF(SUMPRODUCT(($B267:$CH267&gt;0)*($B$2:$CH$2="H"))&gt;0,1,0))</f>
        <v/>
      </c>
    </row>
    <row r="268" customFormat="false" ht="15" hidden="false" customHeight="false" outlineLevel="0" collapsed="false">
      <c r="CJ268" s="21" t="str">
        <f aca="false">IF(OR($A268="",LOWER(TRIM($A268))="grand total"),"",IF(SUMPRODUCT(($B268:$CH268&gt;0)*($B$2:$CH$2="H"))&gt;0,1,0))</f>
        <v/>
      </c>
    </row>
    <row r="269" customFormat="false" ht="15" hidden="false" customHeight="false" outlineLevel="0" collapsed="false">
      <c r="CJ269" s="21" t="str">
        <f aca="false">IF(OR($A269="",LOWER(TRIM($A269))="grand total"),"",IF(SUMPRODUCT(($B269:$CH269&gt;0)*($B$2:$CH$2="H"))&gt;0,1,0))</f>
        <v/>
      </c>
    </row>
    <row r="270" customFormat="false" ht="15" hidden="false" customHeight="false" outlineLevel="0" collapsed="false">
      <c r="CJ270" s="21" t="str">
        <f aca="false">IF(OR($A270="",LOWER(TRIM($A270))="grand total"),"",IF(SUMPRODUCT(($B270:$CH270&gt;0)*($B$2:$CH$2="H"))&gt;0,1,0))</f>
        <v/>
      </c>
    </row>
    <row r="271" customFormat="false" ht="15" hidden="false" customHeight="false" outlineLevel="0" collapsed="false">
      <c r="CJ271" s="21" t="str">
        <f aca="false">IF(OR($A271="",LOWER(TRIM($A271))="grand total"),"",IF(SUMPRODUCT(($B271:$CH271&gt;0)*($B$2:$CH$2="H"))&gt;0,1,0))</f>
        <v/>
      </c>
    </row>
    <row r="272" customFormat="false" ht="15" hidden="false" customHeight="false" outlineLevel="0" collapsed="false">
      <c r="CJ272" s="21" t="str">
        <f aca="false">IF(OR($A272="",LOWER(TRIM($A272))="grand total"),"",IF(SUMPRODUCT(($B272:$CH272&gt;0)*($B$2:$CH$2="H"))&gt;0,1,0))</f>
        <v/>
      </c>
    </row>
    <row r="273" customFormat="false" ht="15" hidden="false" customHeight="false" outlineLevel="0" collapsed="false">
      <c r="CJ273" s="21" t="str">
        <f aca="false">IF(OR($A273="",LOWER(TRIM($A273))="grand total"),"",IF(SUMPRODUCT(($B273:$CH273&gt;0)*($B$2:$CH$2="H"))&gt;0,1,0))</f>
        <v/>
      </c>
    </row>
    <row r="274" customFormat="false" ht="15" hidden="false" customHeight="false" outlineLevel="0" collapsed="false">
      <c r="CJ274" s="21" t="str">
        <f aca="false">IF(OR($A274="",LOWER(TRIM($A274))="grand total"),"",IF(SUMPRODUCT(($B274:$CH274&gt;0)*($B$2:$CH$2="H"))&gt;0,1,0))</f>
        <v/>
      </c>
    </row>
    <row r="275" customFormat="false" ht="15" hidden="false" customHeight="false" outlineLevel="0" collapsed="false">
      <c r="CJ275" s="21" t="str">
        <f aca="false">IF(OR($A275="",LOWER(TRIM($A275))="grand total"),"",IF(SUMPRODUCT(($B275:$CH275&gt;0)*($B$2:$CH$2="H"))&gt;0,1,0))</f>
        <v/>
      </c>
    </row>
    <row r="276" customFormat="false" ht="15" hidden="false" customHeight="false" outlineLevel="0" collapsed="false">
      <c r="CJ276" s="21" t="str">
        <f aca="false">IF(OR($A276="",LOWER(TRIM($A276))="grand total"),"",IF(SUMPRODUCT(($B276:$CH276&gt;0)*($B$2:$CH$2="H"))&gt;0,1,0))</f>
        <v/>
      </c>
    </row>
    <row r="277" customFormat="false" ht="15" hidden="false" customHeight="false" outlineLevel="0" collapsed="false">
      <c r="CJ277" s="21" t="str">
        <f aca="false">IF(OR($A277="",LOWER(TRIM($A277))="grand total"),"",IF(SUMPRODUCT(($B277:$CH277&gt;0)*($B$2:$CH$2="H"))&gt;0,1,0))</f>
        <v/>
      </c>
    </row>
    <row r="278" customFormat="false" ht="15" hidden="false" customHeight="false" outlineLevel="0" collapsed="false">
      <c r="CJ278" s="21" t="str">
        <f aca="false">IF(OR($A278="",LOWER(TRIM($A278))="grand total"),"",IF(SUMPRODUCT(($B278:$CH278&gt;0)*($B$2:$CH$2="H"))&gt;0,1,0))</f>
        <v/>
      </c>
    </row>
    <row r="279" customFormat="false" ht="15" hidden="false" customHeight="false" outlineLevel="0" collapsed="false">
      <c r="CJ279" s="21" t="str">
        <f aca="false">IF(OR($A279="",LOWER(TRIM($A279))="grand total"),"",IF(SUMPRODUCT(($B279:$CH279&gt;0)*($B$2:$CH$2="H"))&gt;0,1,0))</f>
        <v/>
      </c>
    </row>
    <row r="280" customFormat="false" ht="15" hidden="false" customHeight="false" outlineLevel="0" collapsed="false">
      <c r="CJ280" s="21" t="str">
        <f aca="false">IF(OR($A280="",LOWER(TRIM($A280))="grand total"),"",IF(SUMPRODUCT(($B280:$CH280&gt;0)*($B$2:$CH$2="H"))&gt;0,1,0))</f>
        <v/>
      </c>
    </row>
    <row r="281" customFormat="false" ht="15" hidden="false" customHeight="false" outlineLevel="0" collapsed="false">
      <c r="CJ281" s="21" t="str">
        <f aca="false">IF(OR($A281="",LOWER(TRIM($A281))="grand total"),"",IF(SUMPRODUCT(($B281:$CH281&gt;0)*($B$2:$CH$2="H"))&gt;0,1,0))</f>
        <v/>
      </c>
    </row>
    <row r="282" customFormat="false" ht="15" hidden="false" customHeight="false" outlineLevel="0" collapsed="false">
      <c r="CJ282" s="21" t="str">
        <f aca="false">IF(OR($A282="",LOWER(TRIM($A282))="grand total"),"",IF(SUMPRODUCT(($B282:$CH282&gt;0)*($B$2:$CH$2="H"))&gt;0,1,0))</f>
        <v/>
      </c>
    </row>
    <row r="283" customFormat="false" ht="15" hidden="false" customHeight="false" outlineLevel="0" collapsed="false">
      <c r="CJ283" s="21" t="str">
        <f aca="false">IF(OR($A283="",LOWER(TRIM($A283))="grand total"),"",IF(SUMPRODUCT(($B283:$CH283&gt;0)*($B$2:$CH$2="H"))&gt;0,1,0))</f>
        <v/>
      </c>
    </row>
    <row r="284" customFormat="false" ht="15" hidden="false" customHeight="false" outlineLevel="0" collapsed="false">
      <c r="CJ284" s="21" t="str">
        <f aca="false">IF(OR($A284="",LOWER(TRIM($A284))="grand total"),"",IF(SUMPRODUCT(($B284:$CH284&gt;0)*($B$2:$CH$2="H"))&gt;0,1,0))</f>
        <v/>
      </c>
    </row>
    <row r="285" customFormat="false" ht="15" hidden="false" customHeight="false" outlineLevel="0" collapsed="false">
      <c r="CJ285" s="21" t="str">
        <f aca="false">IF(OR($A285="",LOWER(TRIM($A285))="grand total"),"",IF(SUMPRODUCT(($B285:$CH285&gt;0)*($B$2:$CH$2="H"))&gt;0,1,0))</f>
        <v/>
      </c>
    </row>
    <row r="286" customFormat="false" ht="15" hidden="false" customHeight="false" outlineLevel="0" collapsed="false">
      <c r="CJ286" s="21" t="str">
        <f aca="false">IF(OR($A286="",LOWER(TRIM($A286))="grand total"),"",IF(SUMPRODUCT(($B286:$CH286&gt;0)*($B$2:$CH$2="H"))&gt;0,1,0))</f>
        <v/>
      </c>
    </row>
    <row r="287" customFormat="false" ht="15" hidden="false" customHeight="false" outlineLevel="0" collapsed="false">
      <c r="CJ287" s="21" t="str">
        <f aca="false">IF(OR($A287="",LOWER(TRIM($A287))="grand total"),"",IF(SUMPRODUCT(($B287:$CH287&gt;0)*($B$2:$CH$2="H"))&gt;0,1,0))</f>
        <v/>
      </c>
    </row>
    <row r="288" customFormat="false" ht="15" hidden="false" customHeight="false" outlineLevel="0" collapsed="false">
      <c r="CJ288" s="21" t="str">
        <f aca="false">IF(OR($A288="",LOWER(TRIM($A288))="grand total"),"",IF(SUMPRODUCT(($B288:$CH288&gt;0)*($B$2:$CH$2="H"))&gt;0,1,0))</f>
        <v/>
      </c>
    </row>
    <row r="289" customFormat="false" ht="15" hidden="false" customHeight="false" outlineLevel="0" collapsed="false">
      <c r="CJ289" s="21" t="str">
        <f aca="false">IF(OR($A289="",LOWER(TRIM($A289))="grand total"),"",IF(SUMPRODUCT(($B289:$CH289&gt;0)*($B$2:$CH$2="H"))&gt;0,1,0))</f>
        <v/>
      </c>
    </row>
    <row r="290" customFormat="false" ht="15" hidden="false" customHeight="false" outlineLevel="0" collapsed="false">
      <c r="CJ290" s="21" t="str">
        <f aca="false">IF(OR($A290="",LOWER(TRIM($A290))="grand total"),"",IF(SUMPRODUCT(($B290:$CH290&gt;0)*($B$2:$CH$2="H"))&gt;0,1,0))</f>
        <v/>
      </c>
    </row>
    <row r="291" customFormat="false" ht="15" hidden="false" customHeight="false" outlineLevel="0" collapsed="false">
      <c r="CJ291" s="21" t="str">
        <f aca="false">IF(OR($A291="",LOWER(TRIM($A291))="grand total"),"",IF(SUMPRODUCT(($B291:$CH291&gt;0)*($B$2:$CH$2="H"))&gt;0,1,0))</f>
        <v/>
      </c>
    </row>
    <row r="292" customFormat="false" ht="15" hidden="false" customHeight="false" outlineLevel="0" collapsed="false">
      <c r="CJ292" s="21" t="str">
        <f aca="false">IF(OR($A292="",LOWER(TRIM($A292))="grand total"),"",IF(SUMPRODUCT(($B292:$CH292&gt;0)*($B$2:$CH$2="H"))&gt;0,1,0))</f>
        <v/>
      </c>
    </row>
    <row r="293" customFormat="false" ht="15" hidden="false" customHeight="false" outlineLevel="0" collapsed="false">
      <c r="CJ293" s="21" t="str">
        <f aca="false">IF(OR($A293="",LOWER(TRIM($A293))="grand total"),"",IF(SUMPRODUCT(($B293:$CH293&gt;0)*($B$2:$CH$2="H"))&gt;0,1,0))</f>
        <v/>
      </c>
    </row>
    <row r="294" customFormat="false" ht="15" hidden="false" customHeight="false" outlineLevel="0" collapsed="false">
      <c r="CJ294" s="21" t="str">
        <f aca="false">IF(OR($A294="",LOWER(TRIM($A294))="grand total"),"",IF(SUMPRODUCT(($B294:$CH294&gt;0)*($B$2:$CH$2="H"))&gt;0,1,0))</f>
        <v/>
      </c>
    </row>
    <row r="295" customFormat="false" ht="15" hidden="false" customHeight="false" outlineLevel="0" collapsed="false">
      <c r="CJ295" s="21" t="str">
        <f aca="false">IF(OR($A295="",LOWER(TRIM($A295))="grand total"),"",IF(SUMPRODUCT(($B295:$CH295&gt;0)*($B$2:$CH$2="H"))&gt;0,1,0))</f>
        <v/>
      </c>
    </row>
    <row r="296" customFormat="false" ht="15" hidden="false" customHeight="false" outlineLevel="0" collapsed="false">
      <c r="CJ296" s="21" t="str">
        <f aca="false">IF(OR($A296="",LOWER(TRIM($A296))="grand total"),"",IF(SUMPRODUCT(($B296:$CH296&gt;0)*($B$2:$CH$2="H"))&gt;0,1,0))</f>
        <v/>
      </c>
    </row>
    <row r="297" customFormat="false" ht="15" hidden="false" customHeight="false" outlineLevel="0" collapsed="false">
      <c r="CJ297" s="21" t="str">
        <f aca="false">IF(OR($A297="",LOWER(TRIM($A297))="grand total"),"",IF(SUMPRODUCT(($B297:$CH297&gt;0)*($B$2:$CH$2="H"))&gt;0,1,0))</f>
        <v/>
      </c>
    </row>
    <row r="298" customFormat="false" ht="15" hidden="false" customHeight="false" outlineLevel="0" collapsed="false">
      <c r="CJ298" s="21" t="str">
        <f aca="false">IF(OR($A298="",LOWER(TRIM($A298))="grand total"),"",IF(SUMPRODUCT(($B298:$CH298&gt;0)*($B$2:$CH$2="H"))&gt;0,1,0))</f>
        <v/>
      </c>
    </row>
    <row r="299" customFormat="false" ht="15" hidden="false" customHeight="false" outlineLevel="0" collapsed="false">
      <c r="CJ299" s="21" t="str">
        <f aca="false">IF(OR($A299="",LOWER(TRIM($A299))="grand total"),"",IF(SUMPRODUCT(($B299:$CH299&gt;0)*($B$2:$CH$2="H"))&gt;0,1,0))</f>
        <v/>
      </c>
    </row>
    <row r="300" customFormat="false" ht="15" hidden="false" customHeight="false" outlineLevel="0" collapsed="false">
      <c r="CJ300" s="21" t="str">
        <f aca="false">IF(OR($A300="",LOWER(TRIM($A300))="grand total"),"",IF(SUMPRODUCT(($B300:$CH300&gt;0)*($B$2:$CH$2="H"))&gt;0,1,0))</f>
        <v/>
      </c>
    </row>
    <row r="301" customFormat="false" ht="15" hidden="false" customHeight="false" outlineLevel="0" collapsed="false">
      <c r="CJ301" s="21" t="str">
        <f aca="false">IF(OR($A301="",LOWER(TRIM($A301))="grand total"),"",IF(SUMPRODUCT(($B301:$CH301&gt;0)*($B$2:$CH$2="H"))&gt;0,1,0))</f>
        <v/>
      </c>
    </row>
    <row r="302" customFormat="false" ht="15" hidden="false" customHeight="false" outlineLevel="0" collapsed="false">
      <c r="CJ302" s="21" t="str">
        <f aca="false">IF(OR($A302="",LOWER(TRIM($A302))="grand total"),"",IF(SUMPRODUCT(($B302:$CH302&gt;0)*($B$2:$CH$2="H"))&gt;0,1,0))</f>
        <v/>
      </c>
    </row>
    <row r="303" customFormat="false" ht="15" hidden="false" customHeight="false" outlineLevel="0" collapsed="false">
      <c r="CJ303" s="21" t="str">
        <f aca="false">IF(OR($A303="",LOWER(TRIM($A303))="grand total"),"",IF(SUMPRODUCT(($B303:$CH303&gt;0)*($B$2:$CH$2="H"))&gt;0,1,0))</f>
        <v/>
      </c>
    </row>
    <row r="305" customFormat="false" ht="15" hidden="false" customHeight="false" outlineLevel="0" collapsed="false">
      <c r="A305" s="8" t="s">
        <v>264</v>
      </c>
      <c r="B305" s="21" t="n">
        <f aca="false">IF(B1=0,0,IF(COUNTIF(B4:B303,"&gt;0")&gt;0,1,0))</f>
        <v>0</v>
      </c>
      <c r="C305" s="21" t="n">
        <f aca="false">IF(C1=0,0,IF(COUNTIF(C4:C303,"&gt;0")&gt;0,1,0))</f>
        <v>0</v>
      </c>
      <c r="D305" s="21" t="n">
        <f aca="false">IF(D1=0,0,IF(COUNTIF(D4:D303,"&gt;0")&gt;0,1,0))</f>
        <v>0</v>
      </c>
      <c r="E305" s="21" t="n">
        <f aca="false">IF(E1=0,0,IF(COUNTIF(E4:E303,"&gt;0")&gt;0,1,0))</f>
        <v>0</v>
      </c>
      <c r="F305" s="21" t="n">
        <f aca="false">IF(F1=0,0,IF(COUNTIF(F4:F303,"&gt;0")&gt;0,1,0))</f>
        <v>0</v>
      </c>
      <c r="G305" s="21" t="n">
        <f aca="false">IF(G1=0,0,IF(COUNTIF(G4:G303,"&gt;0")&gt;0,1,0))</f>
        <v>0</v>
      </c>
      <c r="H305" s="21" t="n">
        <f aca="false">IF(H1=0,0,IF(COUNTIF(H4:H303,"&gt;0")&gt;0,1,0))</f>
        <v>0</v>
      </c>
      <c r="I305" s="21" t="n">
        <f aca="false">IF(I1=0,0,IF(COUNTIF(I4:I303,"&gt;0")&gt;0,1,0))</f>
        <v>0</v>
      </c>
      <c r="J305" s="21" t="n">
        <f aca="false">IF(J1=0,0,IF(COUNTIF(J4:J303,"&gt;0")&gt;0,1,0))</f>
        <v>0</v>
      </c>
      <c r="K305" s="21" t="n">
        <f aca="false">IF(K1=0,0,IF(COUNTIF(K4:K303,"&gt;0")&gt;0,1,0))</f>
        <v>0</v>
      </c>
      <c r="L305" s="21" t="n">
        <f aca="false">IF(L1=0,0,IF(COUNTIF(L4:L303,"&gt;0")&gt;0,1,0))</f>
        <v>0</v>
      </c>
      <c r="M305" s="21" t="n">
        <f aca="false">IF(M1=0,0,IF(COUNTIF(M4:M303,"&gt;0")&gt;0,1,0))</f>
        <v>0</v>
      </c>
      <c r="N305" s="21" t="n">
        <f aca="false">IF(N1=0,0,IF(COUNTIF(N4:N303,"&gt;0")&gt;0,1,0))</f>
        <v>0</v>
      </c>
      <c r="O305" s="21" t="n">
        <f aca="false">IF(O1=0,0,IF(COUNTIF(O4:O303,"&gt;0")&gt;0,1,0))</f>
        <v>0</v>
      </c>
      <c r="P305" s="21" t="n">
        <f aca="false">IF(P1=0,0,IF(COUNTIF(P4:P303,"&gt;0")&gt;0,1,0))</f>
        <v>0</v>
      </c>
      <c r="Q305" s="21" t="n">
        <f aca="false">IF(Q1=0,0,IF(COUNTIF(Q4:Q303,"&gt;0")&gt;0,1,0))</f>
        <v>0</v>
      </c>
      <c r="R305" s="21" t="n">
        <f aca="false">IF(R1=0,0,IF(COUNTIF(R4:R303,"&gt;0")&gt;0,1,0))</f>
        <v>0</v>
      </c>
      <c r="S305" s="21" t="n">
        <f aca="false">IF(S1=0,0,IF(COUNTIF(S4:S303,"&gt;0")&gt;0,1,0))</f>
        <v>0</v>
      </c>
      <c r="T305" s="21" t="n">
        <f aca="false">IF(T1=0,0,IF(COUNTIF(T4:T303,"&gt;0")&gt;0,1,0))</f>
        <v>0</v>
      </c>
      <c r="U305" s="21" t="n">
        <f aca="false">IF(U1=0,0,IF(COUNTIF(U4:U303,"&gt;0")&gt;0,1,0))</f>
        <v>0</v>
      </c>
      <c r="V305" s="21" t="n">
        <f aca="false">IF(V1=0,0,IF(COUNTIF(V4:V303,"&gt;0")&gt;0,1,0))</f>
        <v>0</v>
      </c>
      <c r="W305" s="21" t="n">
        <f aca="false">IF(W1=0,0,IF(COUNTIF(W4:W303,"&gt;0")&gt;0,1,0))</f>
        <v>0</v>
      </c>
      <c r="X305" s="21" t="n">
        <f aca="false">IF(X1=0,0,IF(COUNTIF(X4:X303,"&gt;0")&gt;0,1,0))</f>
        <v>0</v>
      </c>
      <c r="Y305" s="21" t="n">
        <f aca="false">IF(Y1=0,0,IF(COUNTIF(Y4:Y303,"&gt;0")&gt;0,1,0))</f>
        <v>0</v>
      </c>
      <c r="Z305" s="21" t="n">
        <f aca="false">IF(Z1=0,0,IF(COUNTIF(Z4:Z303,"&gt;0")&gt;0,1,0))</f>
        <v>0</v>
      </c>
      <c r="AA305" s="21" t="n">
        <f aca="false">IF(AA1=0,0,IF(COUNTIF(AA4:AA303,"&gt;0")&gt;0,1,0))</f>
        <v>0</v>
      </c>
      <c r="AB305" s="21" t="n">
        <f aca="false">IF(AB1=0,0,IF(COUNTIF(AB4:AB303,"&gt;0")&gt;0,1,0))</f>
        <v>0</v>
      </c>
      <c r="AC305" s="21" t="n">
        <f aca="false">IF(AC1=0,0,IF(COUNTIF(AC4:AC303,"&gt;0")&gt;0,1,0))</f>
        <v>0</v>
      </c>
      <c r="AD305" s="21" t="n">
        <f aca="false">IF(AD1=0,0,IF(COUNTIF(AD4:AD303,"&gt;0")&gt;0,1,0))</f>
        <v>0</v>
      </c>
      <c r="AE305" s="21" t="n">
        <f aca="false">IF(AE1=0,0,IF(COUNTIF(AE4:AE303,"&gt;0")&gt;0,1,0))</f>
        <v>0</v>
      </c>
      <c r="AF305" s="21" t="n">
        <f aca="false">IF(AF1=0,0,IF(COUNTIF(AF4:AF303,"&gt;0")&gt;0,1,0))</f>
        <v>0</v>
      </c>
      <c r="AG305" s="21" t="n">
        <f aca="false">IF(AG1=0,0,IF(COUNTIF(AG4:AG303,"&gt;0")&gt;0,1,0))</f>
        <v>0</v>
      </c>
      <c r="AH305" s="21" t="n">
        <f aca="false">IF(AH1=0,0,IF(COUNTIF(AH4:AH303,"&gt;0")&gt;0,1,0))</f>
        <v>0</v>
      </c>
      <c r="AI305" s="21" t="n">
        <f aca="false">IF(AI1=0,0,IF(COUNTIF(AI4:AI303,"&gt;0")&gt;0,1,0))</f>
        <v>0</v>
      </c>
      <c r="AJ305" s="21" t="n">
        <f aca="false">IF(AJ1=0,0,IF(COUNTIF(AJ4:AJ303,"&gt;0")&gt;0,1,0))</f>
        <v>0</v>
      </c>
      <c r="AK305" s="21" t="n">
        <f aca="false">IF(AK1=0,0,IF(COUNTIF(AK4:AK303,"&gt;0")&gt;0,1,0))</f>
        <v>0</v>
      </c>
      <c r="AL305" s="21" t="n">
        <f aca="false">IF(AL1=0,0,IF(COUNTIF(AL4:AL303,"&gt;0")&gt;0,1,0))</f>
        <v>0</v>
      </c>
      <c r="AM305" s="21" t="n">
        <f aca="false">IF(AM1=0,0,IF(COUNTIF(AM4:AM303,"&gt;0")&gt;0,1,0))</f>
        <v>0</v>
      </c>
      <c r="AN305" s="21" t="n">
        <f aca="false">IF(AN1=0,0,IF(COUNTIF(AN4:AN303,"&gt;0")&gt;0,1,0))</f>
        <v>0</v>
      </c>
      <c r="AO305" s="21" t="n">
        <f aca="false">IF(AO1=0,0,IF(COUNTIF(AO4:AO303,"&gt;0")&gt;0,1,0))</f>
        <v>0</v>
      </c>
      <c r="AP305" s="21" t="n">
        <f aca="false">IF(AP1=0,0,IF(COUNTIF(AP4:AP303,"&gt;0")&gt;0,1,0))</f>
        <v>0</v>
      </c>
      <c r="AQ305" s="21" t="n">
        <f aca="false">IF(AQ1=0,0,IF(COUNTIF(AQ4:AQ303,"&gt;0")&gt;0,1,0))</f>
        <v>0</v>
      </c>
      <c r="AR305" s="21" t="n">
        <f aca="false">IF(AR1=0,0,IF(COUNTIF(AR4:AR303,"&gt;0")&gt;0,1,0))</f>
        <v>0</v>
      </c>
      <c r="AS305" s="21" t="n">
        <f aca="false">IF(AS1=0,0,IF(COUNTIF(AS4:AS303,"&gt;0")&gt;0,1,0))</f>
        <v>0</v>
      </c>
      <c r="AT305" s="21" t="n">
        <f aca="false">IF(AT1=0,0,IF(COUNTIF(AT4:AT303,"&gt;0")&gt;0,1,0))</f>
        <v>0</v>
      </c>
      <c r="AU305" s="21" t="n">
        <f aca="false">IF(AU1=0,0,IF(COUNTIF(AU4:AU303,"&gt;0")&gt;0,1,0))</f>
        <v>0</v>
      </c>
      <c r="AV305" s="21" t="n">
        <f aca="false">IF(AV1=0,0,IF(COUNTIF(AV4:AV303,"&gt;0")&gt;0,1,0))</f>
        <v>0</v>
      </c>
      <c r="AW305" s="21" t="n">
        <f aca="false">IF(AW1=0,0,IF(COUNTIF(AW4:AW303,"&gt;0")&gt;0,1,0))</f>
        <v>0</v>
      </c>
      <c r="AX305" s="21" t="n">
        <f aca="false">IF(AX1=0,0,IF(COUNTIF(AX4:AX303,"&gt;0")&gt;0,1,0))</f>
        <v>0</v>
      </c>
      <c r="AY305" s="21" t="n">
        <f aca="false">IF(AY1=0,0,IF(COUNTIF(AY4:AY303,"&gt;0")&gt;0,1,0))</f>
        <v>0</v>
      </c>
      <c r="AZ305" s="21" t="n">
        <f aca="false">IF(AZ1=0,0,IF(COUNTIF(AZ4:AZ303,"&gt;0")&gt;0,1,0))</f>
        <v>0</v>
      </c>
      <c r="BA305" s="21" t="n">
        <f aca="false">IF(BA1=0,0,IF(COUNTIF(BA4:BA303,"&gt;0")&gt;0,1,0))</f>
        <v>0</v>
      </c>
      <c r="BB305" s="21" t="n">
        <f aca="false">IF(BB1=0,0,IF(COUNTIF(BB4:BB303,"&gt;0")&gt;0,1,0))</f>
        <v>0</v>
      </c>
      <c r="BC305" s="21" t="n">
        <f aca="false">IF(BC1=0,0,IF(COUNTIF(BC4:BC303,"&gt;0")&gt;0,1,0))</f>
        <v>0</v>
      </c>
      <c r="BD305" s="21" t="n">
        <f aca="false">IF(BD1=0,0,IF(COUNTIF(BD4:BD303,"&gt;0")&gt;0,1,0))</f>
        <v>0</v>
      </c>
      <c r="BE305" s="21" t="n">
        <f aca="false">IF(BE1=0,0,IF(COUNTIF(BE4:BE303,"&gt;0")&gt;0,1,0))</f>
        <v>0</v>
      </c>
      <c r="BF305" s="21" t="n">
        <f aca="false">IF(BF1=0,0,IF(COUNTIF(BF4:BF303,"&gt;0")&gt;0,1,0))</f>
        <v>0</v>
      </c>
      <c r="BG305" s="21" t="n">
        <f aca="false">IF(BG1=0,0,IF(COUNTIF(BG4:BG303,"&gt;0")&gt;0,1,0))</f>
        <v>0</v>
      </c>
      <c r="BH305" s="21" t="n">
        <f aca="false">IF(BH1=0,0,IF(COUNTIF(BH4:BH303,"&gt;0")&gt;0,1,0))</f>
        <v>0</v>
      </c>
      <c r="BI305" s="21" t="n">
        <f aca="false">IF(BI1=0,0,IF(COUNTIF(BI4:BI303,"&gt;0")&gt;0,1,0))</f>
        <v>0</v>
      </c>
      <c r="BJ305" s="21" t="n">
        <f aca="false">IF(BJ1=0,0,IF(COUNTIF(BJ4:BJ303,"&gt;0")&gt;0,1,0))</f>
        <v>0</v>
      </c>
      <c r="BK305" s="21" t="n">
        <f aca="false">IF(BK1=0,0,IF(COUNTIF(BK4:BK303,"&gt;0")&gt;0,1,0))</f>
        <v>0</v>
      </c>
      <c r="BL305" s="21" t="n">
        <f aca="false">IF(BL1=0,0,IF(COUNTIF(BL4:BL303,"&gt;0")&gt;0,1,0))</f>
        <v>0</v>
      </c>
      <c r="BM305" s="21" t="n">
        <f aca="false">IF(BM1=0,0,IF(COUNTIF(BM4:BM303,"&gt;0")&gt;0,1,0))</f>
        <v>0</v>
      </c>
      <c r="BN305" s="21" t="n">
        <f aca="false">IF(BN1=0,0,IF(COUNTIF(BN4:BN303,"&gt;0")&gt;0,1,0))</f>
        <v>0</v>
      </c>
      <c r="BO305" s="21" t="n">
        <f aca="false">IF(BO1=0,0,IF(COUNTIF(BO4:BO303,"&gt;0")&gt;0,1,0))</f>
        <v>0</v>
      </c>
      <c r="BP305" s="21" t="n">
        <f aca="false">IF(BP1=0,0,IF(COUNTIF(BP4:BP303,"&gt;0")&gt;0,1,0))</f>
        <v>0</v>
      </c>
      <c r="BQ305" s="21" t="n">
        <f aca="false">IF(BQ1=0,0,IF(COUNTIF(BQ4:BQ303,"&gt;0")&gt;0,1,0))</f>
        <v>0</v>
      </c>
      <c r="BR305" s="21" t="n">
        <f aca="false">IF(BR1=0,0,IF(COUNTIF(BR4:BR303,"&gt;0")&gt;0,1,0))</f>
        <v>0</v>
      </c>
      <c r="BS305" s="21" t="n">
        <f aca="false">IF(BS1=0,0,IF(COUNTIF(BS4:BS303,"&gt;0")&gt;0,1,0))</f>
        <v>0</v>
      </c>
      <c r="BT305" s="21" t="n">
        <f aca="false">IF(BT1=0,0,IF(COUNTIF(BT4:BT303,"&gt;0")&gt;0,1,0))</f>
        <v>0</v>
      </c>
      <c r="BU305" s="21" t="n">
        <f aca="false">IF(BU1=0,0,IF(COUNTIF(BU4:BU303,"&gt;0")&gt;0,1,0))</f>
        <v>0</v>
      </c>
      <c r="BV305" s="21" t="n">
        <f aca="false">IF(BV1=0,0,IF(COUNTIF(BV4:BV303,"&gt;0")&gt;0,1,0))</f>
        <v>0</v>
      </c>
      <c r="BW305" s="21" t="n">
        <f aca="false">IF(BW1=0,0,IF(COUNTIF(BW4:BW303,"&gt;0")&gt;0,1,0))</f>
        <v>0</v>
      </c>
      <c r="BX305" s="21" t="n">
        <f aca="false">IF(BX1=0,0,IF(COUNTIF(BX4:BX303,"&gt;0")&gt;0,1,0))</f>
        <v>0</v>
      </c>
      <c r="BY305" s="21" t="n">
        <f aca="false">IF(BY1=0,0,IF(COUNTIF(BY4:BY303,"&gt;0")&gt;0,1,0))</f>
        <v>0</v>
      </c>
      <c r="BZ305" s="21" t="n">
        <f aca="false">IF(BZ1=0,0,IF(COUNTIF(BZ4:BZ303,"&gt;0")&gt;0,1,0))</f>
        <v>0</v>
      </c>
      <c r="CA305" s="21" t="n">
        <f aca="false">IF(CA1=0,0,IF(COUNTIF(CA4:CA303,"&gt;0")&gt;0,1,0))</f>
        <v>0</v>
      </c>
      <c r="CB305" s="21" t="n">
        <f aca="false">IF(CB1=0,0,IF(COUNTIF(CB4:CB303,"&gt;0")&gt;0,1,0))</f>
        <v>0</v>
      </c>
      <c r="CC305" s="21" t="n">
        <f aca="false">IF(CC1=0,0,IF(COUNTIF(CC4:CC303,"&gt;0")&gt;0,1,0))</f>
        <v>0</v>
      </c>
      <c r="CD305" s="21" t="n">
        <f aca="false">IF(CD1=0,0,IF(COUNTIF(CD4:CD303,"&gt;0")&gt;0,1,0))</f>
        <v>0</v>
      </c>
      <c r="CE305" s="21" t="n">
        <f aca="false">IF(CE1=0,0,IF(COUNTIF(CE4:CE303,"&gt;0")&gt;0,1,0))</f>
        <v>0</v>
      </c>
      <c r="CF305" s="21" t="n">
        <f aca="false">IF(CF1=0,0,IF(COUNTIF(CF4:CF303,"&gt;0")&gt;0,1,0))</f>
        <v>0</v>
      </c>
      <c r="CG305" s="21" t="n">
        <f aca="false">IF(CG1=0,0,IF(COUNTIF(CG4:CG303,"&gt;0")&gt;0,1,0))</f>
        <v>0</v>
      </c>
      <c r="CH305" s="21" t="n">
        <f aca="false">IF(CH1=0,0,IF(COUNTIF(CH4:CH303,"&gt;0")&gt;0,1,0))</f>
        <v>0</v>
      </c>
    </row>
    <row r="306" customFormat="false" ht="15" hidden="false" customHeight="false" outlineLevel="0" collapsed="false">
      <c r="A306" s="8" t="s">
        <v>265</v>
      </c>
      <c r="B306" s="21" t="n">
        <f aca="false">B305*B1</f>
        <v>0</v>
      </c>
      <c r="C306" s="21" t="n">
        <f aca="false">C305*C1</f>
        <v>0</v>
      </c>
      <c r="D306" s="21" t="n">
        <f aca="false">D305*D1</f>
        <v>0</v>
      </c>
      <c r="E306" s="21" t="n">
        <f aca="false">E305*E1</f>
        <v>0</v>
      </c>
      <c r="F306" s="21" t="n">
        <f aca="false">F305*F1</f>
        <v>0</v>
      </c>
      <c r="G306" s="21" t="n">
        <f aca="false">G305*G1</f>
        <v>0</v>
      </c>
      <c r="H306" s="21" t="n">
        <f aca="false">H305*H1</f>
        <v>0</v>
      </c>
      <c r="I306" s="21" t="n">
        <f aca="false">I305*I1</f>
        <v>0</v>
      </c>
      <c r="J306" s="21" t="n">
        <f aca="false">J305*J1</f>
        <v>0</v>
      </c>
      <c r="K306" s="21" t="n">
        <f aca="false">K305*K1</f>
        <v>0</v>
      </c>
      <c r="L306" s="21" t="n">
        <f aca="false">L305*L1</f>
        <v>0</v>
      </c>
      <c r="M306" s="21" t="n">
        <f aca="false">M305*M1</f>
        <v>0</v>
      </c>
      <c r="N306" s="21" t="n">
        <f aca="false">N305*N1</f>
        <v>0</v>
      </c>
      <c r="O306" s="21" t="n">
        <f aca="false">O305*O1</f>
        <v>0</v>
      </c>
      <c r="P306" s="21" t="n">
        <f aca="false">P305*P1</f>
        <v>0</v>
      </c>
      <c r="Q306" s="21" t="n">
        <f aca="false">Q305*Q1</f>
        <v>0</v>
      </c>
      <c r="R306" s="21" t="n">
        <f aca="false">R305*R1</f>
        <v>0</v>
      </c>
      <c r="S306" s="21" t="n">
        <f aca="false">S305*S1</f>
        <v>0</v>
      </c>
      <c r="T306" s="21" t="n">
        <f aca="false">T305*T1</f>
        <v>0</v>
      </c>
      <c r="U306" s="21" t="n">
        <f aca="false">U305*U1</f>
        <v>0</v>
      </c>
      <c r="V306" s="21" t="n">
        <f aca="false">V305*V1</f>
        <v>0</v>
      </c>
      <c r="W306" s="21" t="n">
        <f aca="false">W305*W1</f>
        <v>0</v>
      </c>
      <c r="X306" s="21" t="n">
        <f aca="false">X305*X1</f>
        <v>0</v>
      </c>
      <c r="Y306" s="21" t="n">
        <f aca="false">Y305*Y1</f>
        <v>0</v>
      </c>
      <c r="Z306" s="21" t="n">
        <f aca="false">Z305*Z1</f>
        <v>0</v>
      </c>
      <c r="AA306" s="21" t="n">
        <f aca="false">AA305*AA1</f>
        <v>0</v>
      </c>
      <c r="AB306" s="21" t="n">
        <f aca="false">AB305*AB1</f>
        <v>0</v>
      </c>
      <c r="AC306" s="21" t="n">
        <f aca="false">AC305*AC1</f>
        <v>0</v>
      </c>
      <c r="AD306" s="21" t="n">
        <f aca="false">AD305*AD1</f>
        <v>0</v>
      </c>
      <c r="AE306" s="21" t="n">
        <f aca="false">AE305*AE1</f>
        <v>0</v>
      </c>
      <c r="AF306" s="21" t="n">
        <f aca="false">AF305*AF1</f>
        <v>0</v>
      </c>
      <c r="AG306" s="21" t="n">
        <f aca="false">AG305*AG1</f>
        <v>0</v>
      </c>
      <c r="AH306" s="21" t="n">
        <f aca="false">AH305*AH1</f>
        <v>0</v>
      </c>
      <c r="AI306" s="21" t="n">
        <f aca="false">AI305*AI1</f>
        <v>0</v>
      </c>
      <c r="AJ306" s="21" t="n">
        <f aca="false">AJ305*AJ1</f>
        <v>0</v>
      </c>
      <c r="AK306" s="21" t="n">
        <f aca="false">AK305*AK1</f>
        <v>0</v>
      </c>
      <c r="AL306" s="21" t="n">
        <f aca="false">AL305*AL1</f>
        <v>0</v>
      </c>
      <c r="AM306" s="21" t="n">
        <f aca="false">AM305*AM1</f>
        <v>0</v>
      </c>
      <c r="AN306" s="21" t="n">
        <f aca="false">AN305*AN1</f>
        <v>0</v>
      </c>
      <c r="AO306" s="21" t="n">
        <f aca="false">AO305*AO1</f>
        <v>0</v>
      </c>
      <c r="AP306" s="21" t="n">
        <f aca="false">AP305*AP1</f>
        <v>0</v>
      </c>
      <c r="AQ306" s="21" t="n">
        <f aca="false">AQ305*AQ1</f>
        <v>0</v>
      </c>
      <c r="AR306" s="21" t="n">
        <f aca="false">AR305*AR1</f>
        <v>0</v>
      </c>
      <c r="AS306" s="21" t="n">
        <f aca="false">AS305*AS1</f>
        <v>0</v>
      </c>
      <c r="AT306" s="21" t="n">
        <f aca="false">AT305*AT1</f>
        <v>0</v>
      </c>
      <c r="AU306" s="21" t="n">
        <f aca="false">AU305*AU1</f>
        <v>0</v>
      </c>
      <c r="AV306" s="21" t="n">
        <f aca="false">AV305*AV1</f>
        <v>0</v>
      </c>
      <c r="AW306" s="21" t="n">
        <f aca="false">AW305*AW1</f>
        <v>0</v>
      </c>
      <c r="AX306" s="21" t="n">
        <f aca="false">AX305*AX1</f>
        <v>0</v>
      </c>
      <c r="AY306" s="21" t="n">
        <f aca="false">AY305*AY1</f>
        <v>0</v>
      </c>
      <c r="AZ306" s="21" t="n">
        <f aca="false">AZ305*AZ1</f>
        <v>0</v>
      </c>
      <c r="BA306" s="21" t="n">
        <f aca="false">BA305*BA1</f>
        <v>0</v>
      </c>
      <c r="BB306" s="21" t="n">
        <f aca="false">BB305*BB1</f>
        <v>0</v>
      </c>
      <c r="BC306" s="21" t="n">
        <f aca="false">BC305*BC1</f>
        <v>0</v>
      </c>
      <c r="BD306" s="21" t="n">
        <f aca="false">BD305*BD1</f>
        <v>0</v>
      </c>
      <c r="BE306" s="21" t="n">
        <f aca="false">BE305*BE1</f>
        <v>0</v>
      </c>
      <c r="BF306" s="21" t="n">
        <f aca="false">BF305*BF1</f>
        <v>0</v>
      </c>
      <c r="BG306" s="21" t="n">
        <f aca="false">BG305*BG1</f>
        <v>0</v>
      </c>
      <c r="BH306" s="21" t="n">
        <f aca="false">BH305*BH1</f>
        <v>0</v>
      </c>
      <c r="BI306" s="21" t="n">
        <f aca="false">BI305*BI1</f>
        <v>0</v>
      </c>
      <c r="BJ306" s="21" t="n">
        <f aca="false">BJ305*BJ1</f>
        <v>0</v>
      </c>
      <c r="BK306" s="21" t="n">
        <f aca="false">BK305*BK1</f>
        <v>0</v>
      </c>
      <c r="BL306" s="21" t="n">
        <f aca="false">BL305*BL1</f>
        <v>0</v>
      </c>
      <c r="BM306" s="21" t="n">
        <f aca="false">BM305*BM1</f>
        <v>0</v>
      </c>
      <c r="BN306" s="21" t="n">
        <f aca="false">BN305*BN1</f>
        <v>0</v>
      </c>
      <c r="BO306" s="21" t="n">
        <f aca="false">BO305*BO1</f>
        <v>0</v>
      </c>
      <c r="BP306" s="21" t="n">
        <f aca="false">BP305*BP1</f>
        <v>0</v>
      </c>
      <c r="BQ306" s="21" t="n">
        <f aca="false">BQ305*BQ1</f>
        <v>0</v>
      </c>
      <c r="BR306" s="21" t="n">
        <f aca="false">BR305*BR1</f>
        <v>0</v>
      </c>
      <c r="BS306" s="21" t="n">
        <f aca="false">BS305*BS1</f>
        <v>0</v>
      </c>
      <c r="BT306" s="21" t="n">
        <f aca="false">BT305*BT1</f>
        <v>0</v>
      </c>
      <c r="BU306" s="21" t="n">
        <f aca="false">BU305*BU1</f>
        <v>0</v>
      </c>
      <c r="BV306" s="21" t="n">
        <f aca="false">BV305*BV1</f>
        <v>0</v>
      </c>
      <c r="BW306" s="21" t="n">
        <f aca="false">BW305*BW1</f>
        <v>0</v>
      </c>
      <c r="BX306" s="21" t="n">
        <f aca="false">BX305*BX1</f>
        <v>0</v>
      </c>
      <c r="BY306" s="21" t="n">
        <f aca="false">BY305*BY1</f>
        <v>0</v>
      </c>
      <c r="BZ306" s="21" t="n">
        <f aca="false">BZ305*BZ1</f>
        <v>0</v>
      </c>
      <c r="CA306" s="21" t="n">
        <f aca="false">CA305*CA1</f>
        <v>0</v>
      </c>
      <c r="CB306" s="21" t="n">
        <f aca="false">CB305*CB1</f>
        <v>0</v>
      </c>
      <c r="CC306" s="21" t="n">
        <f aca="false">CC305*CC1</f>
        <v>0</v>
      </c>
      <c r="CD306" s="21" t="n">
        <f aca="false">CD305*CD1</f>
        <v>0</v>
      </c>
      <c r="CE306" s="21" t="n">
        <f aca="false">CE305*CE1</f>
        <v>0</v>
      </c>
      <c r="CF306" s="21" t="n">
        <f aca="false">CF305*CF1</f>
        <v>0</v>
      </c>
      <c r="CG306" s="21" t="n">
        <f aca="false">CG305*CG1</f>
        <v>0</v>
      </c>
      <c r="CH306" s="21" t="n">
        <f aca="false">CH305*CH1</f>
        <v>0</v>
      </c>
    </row>
    <row r="309" customFormat="false" ht="15" hidden="false" customHeight="false" outlineLevel="0" collapsed="false">
      <c r="A309" s="6" t="s">
        <v>266</v>
      </c>
      <c r="B309" s="7"/>
      <c r="C309" s="7"/>
    </row>
    <row r="310" customFormat="false" ht="15" hidden="false" customHeight="false" outlineLevel="0" collapsed="false">
      <c r="A310" s="8" t="s">
        <v>267</v>
      </c>
      <c r="B310" s="16" t="n">
        <f aca="false">SUM(B306:CH306)</f>
        <v>0</v>
      </c>
    </row>
    <row r="311" customFormat="false" ht="15" hidden="false" customHeight="false" outlineLevel="0" collapsed="false">
      <c r="A311" s="8" t="s">
        <v>268</v>
      </c>
      <c r="B311" s="24" t="n">
        <v>139</v>
      </c>
    </row>
    <row r="312" customFormat="false" ht="15" hidden="false" customHeight="false" outlineLevel="0" collapsed="false">
      <c r="A312" s="8" t="s">
        <v>269</v>
      </c>
      <c r="B312" s="25" t="n">
        <f aca="false">1-(B310/B311)</f>
        <v>1</v>
      </c>
    </row>
    <row r="313" customFormat="false" ht="15" hidden="false" customHeight="false" outlineLevel="0" collapsed="false">
      <c r="A313" s="13" t="s">
        <v>270</v>
      </c>
      <c r="B313" s="14" t="n">
        <f aca="false">MIN(1,MAX(0,ROUND(B312,2)))</f>
        <v>1</v>
      </c>
    </row>
    <row r="315" customFormat="false" ht="15" hidden="false" customHeight="false" outlineLevel="0" collapsed="false">
      <c r="A315" s="8" t="s">
        <v>271</v>
      </c>
      <c r="B315" s="26" t="n">
        <f aca="false">Calculator!$B$6</f>
        <v>55</v>
      </c>
    </row>
    <row r="316" customFormat="false" ht="15" hidden="false" customHeight="false" outlineLevel="0" collapsed="false">
      <c r="A316" s="8" t="s">
        <v>272</v>
      </c>
      <c r="B316" s="16" t="n">
        <f aca="false">SUM(CJ4:CJ303)</f>
        <v>0</v>
      </c>
    </row>
    <row r="317" customFormat="false" ht="15" hidden="false" customHeight="false" outlineLevel="0" collapsed="false">
      <c r="A317" s="8" t="s">
        <v>273</v>
      </c>
      <c r="B317" s="25" t="n">
        <f aca="false">1-(B316/B315)</f>
        <v>1</v>
      </c>
    </row>
    <row r="318" customFormat="false" ht="15" hidden="false" customHeight="false" outlineLevel="0" collapsed="false">
      <c r="A318" s="13" t="s">
        <v>274</v>
      </c>
      <c r="B318" s="14" t="n">
        <f aca="false">MIN(1,MAX(0,ROUND(B317,2)))</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21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30" min="2" style="0" width="14"/>
    <col collapsed="false" customWidth="true" hidden="false" outlineLevel="0" max="32" min="32" style="0" width="28"/>
    <col collapsed="false" customWidth="true" hidden="false" outlineLevel="0" max="33" min="33" style="0" width="10"/>
    <col collapsed="false" customWidth="true" hidden="false" outlineLevel="0" max="34" min="34" style="0" width="12"/>
  </cols>
  <sheetData>
    <row r="1" customFormat="false" ht="43.5" hidden="false" customHeight="true" outlineLevel="0" collapsed="false">
      <c r="A1" s="1" t="s">
        <v>275</v>
      </c>
      <c r="AF1" s="15" t="s">
        <v>276</v>
      </c>
      <c r="AG1" s="15"/>
      <c r="AH1" s="15"/>
      <c r="AI1" s="15"/>
      <c r="AJ1" s="15"/>
      <c r="AK1" s="15"/>
      <c r="AL1" s="15"/>
    </row>
    <row r="2" customFormat="false" ht="15" hidden="false" customHeight="false" outlineLevel="0" collapsed="false">
      <c r="A2" s="22" t="s">
        <v>277</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H2" s="18" t="s">
        <v>278</v>
      </c>
    </row>
    <row r="3" customFormat="false" ht="15" hidden="false" customHeight="false" outlineLevel="0" collapsed="false">
      <c r="AF3" s="8" t="s">
        <v>279</v>
      </c>
      <c r="AH3" s="21" t="n">
        <f aca="false">IF($AG$4=0,0,IF($AG$6=0,0,IF(INDEX($A3:$AD3,$AG$4)="",0,IF(INDEX($A3:$AD3,$AG$6)&lt;&gt;"NON-COMPLIED",0,IF(COUNTIFS(INDEX($A$3:$AD$3,0,$AG$4),INDEX($A3:$AD3,$AG$4),INDEX($A$3:$AD$3,0,$AG$6),"NON-COMPLIED")=1,1,0)))))</f>
        <v>0</v>
      </c>
    </row>
    <row r="4" customFormat="false" ht="15" hidden="false" customHeight="false" outlineLevel="0" collapsed="false">
      <c r="AF4" s="10" t="s">
        <v>280</v>
      </c>
      <c r="AG4" s="16" t="n">
        <f aca="false">IFERROR(MATCH("BRANCH_ALPHA",$A$2:$AD$2,0),0)</f>
        <v>1</v>
      </c>
      <c r="AH4" s="21" t="n">
        <f aca="false">IF($AG$4=0,0,IF($AG$6=0,0,IF(INDEX($A4:$AD4,$AG$4)="",0,IF(INDEX($A4:$AD4,$AG$6)&lt;&gt;"NON-COMPLIED",0,IF(COUNTIFS(INDEX($A$3:$AD$4,0,$AG$4),INDEX($A4:$AD4,$AG$4),INDEX($A$3:$AD$4,0,$AG$6),"NON-COMPLIED")=1,1,0)))))</f>
        <v>0</v>
      </c>
    </row>
    <row r="5" customFormat="false" ht="15" hidden="false" customHeight="false" outlineLevel="0" collapsed="false">
      <c r="AF5" s="10" t="s">
        <v>281</v>
      </c>
      <c r="AG5" s="16" t="n">
        <f aca="false">IFERROR(MATCH("PARAMETER_VALUE",$A$2:$AD$2,0),0)</f>
        <v>0</v>
      </c>
      <c r="AH5" s="21" t="n">
        <f aca="false">IF($AG$4=0,0,IF($AG$6=0,0,IF(INDEX($A5:$AD5,$AG$4)="",0,IF(INDEX($A5:$AD5,$AG$6)&lt;&gt;"NON-COMPLIED",0,IF(COUNTIFS(INDEX($A$3:$AD$5,0,$AG$4),INDEX($A5:$AD5,$AG$4),INDEX($A$3:$AD$5,0,$AG$6),"NON-COMPLIED")=1,1,0)))))</f>
        <v>0</v>
      </c>
    </row>
    <row r="6" customFormat="false" ht="15" hidden="false" customHeight="false" outlineLevel="0" collapsed="false">
      <c r="AF6" s="10" t="s">
        <v>282</v>
      </c>
      <c r="AG6" s="16" t="n">
        <f aca="false">IFERROR(MATCH("FINAL_STATUS_OF_PARAMETER",$A$2:$AD$2,0),0)</f>
        <v>0</v>
      </c>
      <c r="AH6" s="21" t="n">
        <f aca="false">IF($AG$4=0,0,IF($AG$6=0,0,IF(INDEX($A6:$AD6,$AG$4)="",0,IF(INDEX($A6:$AD6,$AG$6)&lt;&gt;"NON-COMPLIED",0,IF(COUNTIFS(INDEX($A$3:$AD$6,0,$AG$4),INDEX($A6:$AD6,$AG$4),INDEX($A$3:$AD$6,0,$AG$6),"NON-COMPLIED")=1,1,0)))))</f>
        <v>0</v>
      </c>
    </row>
    <row r="7" customFormat="false" ht="15" hidden="false" customHeight="false" outlineLevel="0" collapsed="false">
      <c r="AH7" s="21" t="n">
        <f aca="false">IF($AG$4=0,0,IF($AG$6=0,0,IF(INDEX($A7:$AD7,$AG$4)="",0,IF(INDEX($A7:$AD7,$AG$6)&lt;&gt;"NON-COMPLIED",0,IF(COUNTIFS(INDEX($A$3:$AD$7,0,$AG$4),INDEX($A7:$AD7,$AG$4),INDEX($A$3:$AD$7,0,$AG$6),"NON-COMPLIED")=1,1,0)))))</f>
        <v>0</v>
      </c>
    </row>
    <row r="8" customFormat="false" ht="15" hidden="false" customHeight="false" outlineLevel="0" collapsed="false">
      <c r="AH8" s="21" t="n">
        <f aca="false">IF($AG$4=0,0,IF($AG$6=0,0,IF(INDEX($A8:$AD8,$AG$4)="",0,IF(INDEX($A8:$AD8,$AG$6)&lt;&gt;"NON-COMPLIED",0,IF(COUNTIFS(INDEX($A$3:$AD$8,0,$AG$4),INDEX($A8:$AD8,$AG$4),INDEX($A$3:$AD$8,0,$AG$6),"NON-COMPLIED")=1,1,0)))))</f>
        <v>0</v>
      </c>
    </row>
    <row r="9" customFormat="false" ht="15" hidden="false" customHeight="false" outlineLevel="0" collapsed="false">
      <c r="AH9" s="21" t="n">
        <f aca="false">IF($AG$4=0,0,IF($AG$6=0,0,IF(INDEX($A9:$AD9,$AG$4)="",0,IF(INDEX($A9:$AD9,$AG$6)&lt;&gt;"NON-COMPLIED",0,IF(COUNTIFS(INDEX($A$3:$AD$9,0,$AG$4),INDEX($A9:$AD9,$AG$4),INDEX($A$3:$AD$9,0,$AG$6),"NON-COMPLIED")=1,1,0)))))</f>
        <v>0</v>
      </c>
    </row>
    <row r="10" customFormat="false" ht="15" hidden="false" customHeight="false" outlineLevel="0" collapsed="false">
      <c r="AH10" s="21" t="n">
        <f aca="false">IF($AG$4=0,0,IF($AG$6=0,0,IF(INDEX($A10:$AD10,$AG$4)="",0,IF(INDEX($A10:$AD10,$AG$6)&lt;&gt;"NON-COMPLIED",0,IF(COUNTIFS(INDEX($A$3:$AD$10,0,$AG$4),INDEX($A10:$AD10,$AG$4),INDEX($A$3:$AD$10,0,$AG$6),"NON-COMPLIED")=1,1,0)))))</f>
        <v>0</v>
      </c>
    </row>
    <row r="11" customFormat="false" ht="15" hidden="false" customHeight="false" outlineLevel="0" collapsed="false">
      <c r="AH11" s="21" t="n">
        <f aca="false">IF($AG$4=0,0,IF($AG$6=0,0,IF(INDEX($A11:$AD11,$AG$4)="",0,IF(INDEX($A11:$AD11,$AG$6)&lt;&gt;"NON-COMPLIED",0,IF(COUNTIFS(INDEX($A$3:$AD$11,0,$AG$4),INDEX($A11:$AD11,$AG$4),INDEX($A$3:$AD$11,0,$AG$6),"NON-COMPLIED")=1,1,0)))))</f>
        <v>0</v>
      </c>
    </row>
    <row r="12" customFormat="false" ht="15" hidden="false" customHeight="false" outlineLevel="0" collapsed="false">
      <c r="AH12" s="21" t="n">
        <f aca="false">IF($AG$4=0,0,IF($AG$6=0,0,IF(INDEX($A12:$AD12,$AG$4)="",0,IF(INDEX($A12:$AD12,$AG$6)&lt;&gt;"NON-COMPLIED",0,IF(COUNTIFS(INDEX($A$3:$AD$12,0,$AG$4),INDEX($A12:$AD12,$AG$4),INDEX($A$3:$AD$12,0,$AG$6),"NON-COMPLIED")=1,1,0)))))</f>
        <v>0</v>
      </c>
    </row>
    <row r="13" customFormat="false" ht="15" hidden="false" customHeight="false" outlineLevel="0" collapsed="false">
      <c r="AH13" s="21" t="n">
        <f aca="false">IF($AG$4=0,0,IF($AG$6=0,0,IF(INDEX($A13:$AD13,$AG$4)="",0,IF(INDEX($A13:$AD13,$AG$6)&lt;&gt;"NON-COMPLIED",0,IF(COUNTIFS(INDEX($A$3:$AD$13,0,$AG$4),INDEX($A13:$AD13,$AG$4),INDEX($A$3:$AD$13,0,$AG$6),"NON-COMPLIED")=1,1,0)))))</f>
        <v>0</v>
      </c>
    </row>
    <row r="14" customFormat="false" ht="15" hidden="false" customHeight="false" outlineLevel="0" collapsed="false">
      <c r="AH14" s="21" t="n">
        <f aca="false">IF($AG$4=0,0,IF($AG$6=0,0,IF(INDEX($A14:$AD14,$AG$4)="",0,IF(INDEX($A14:$AD14,$AG$6)&lt;&gt;"NON-COMPLIED",0,IF(COUNTIFS(INDEX($A$3:$AD$14,0,$AG$4),INDEX($A14:$AD14,$AG$4),INDEX($A$3:$AD$14,0,$AG$6),"NON-COMPLIED")=1,1,0)))))</f>
        <v>0</v>
      </c>
    </row>
    <row r="15" customFormat="false" ht="15" hidden="false" customHeight="false" outlineLevel="0" collapsed="false">
      <c r="AH15" s="21" t="n">
        <f aca="false">IF($AG$4=0,0,IF($AG$6=0,0,IF(INDEX($A15:$AD15,$AG$4)="",0,IF(INDEX($A15:$AD15,$AG$6)&lt;&gt;"NON-COMPLIED",0,IF(COUNTIFS(INDEX($A$3:$AD$15,0,$AG$4),INDEX($A15:$AD15,$AG$4),INDEX($A$3:$AD$15,0,$AG$6),"NON-COMPLIED")=1,1,0)))))</f>
        <v>0</v>
      </c>
    </row>
    <row r="16" customFormat="false" ht="15" hidden="false" customHeight="false" outlineLevel="0" collapsed="false">
      <c r="AH16" s="21" t="n">
        <f aca="false">IF($AG$4=0,0,IF($AG$6=0,0,IF(INDEX($A16:$AD16,$AG$4)="",0,IF(INDEX($A16:$AD16,$AG$6)&lt;&gt;"NON-COMPLIED",0,IF(COUNTIFS(INDEX($A$3:$AD$16,0,$AG$4),INDEX($A16:$AD16,$AG$4),INDEX($A$3:$AD$16,0,$AG$6),"NON-COMPLIED")=1,1,0)))))</f>
        <v>0</v>
      </c>
    </row>
    <row r="17" customFormat="false" ht="15" hidden="false" customHeight="false" outlineLevel="0" collapsed="false">
      <c r="AH17" s="21" t="n">
        <f aca="false">IF($AG$4=0,0,IF($AG$6=0,0,IF(INDEX($A17:$AD17,$AG$4)="",0,IF(INDEX($A17:$AD17,$AG$6)&lt;&gt;"NON-COMPLIED",0,IF(COUNTIFS(INDEX($A$3:$AD$17,0,$AG$4),INDEX($A17:$AD17,$AG$4),INDEX($A$3:$AD$17,0,$AG$6),"NON-COMPLIED")=1,1,0)))))</f>
        <v>0</v>
      </c>
    </row>
    <row r="18" customFormat="false" ht="15" hidden="false" customHeight="false" outlineLevel="0" collapsed="false">
      <c r="AH18" s="21" t="n">
        <f aca="false">IF($AG$4=0,0,IF($AG$6=0,0,IF(INDEX($A18:$AD18,$AG$4)="",0,IF(INDEX($A18:$AD18,$AG$6)&lt;&gt;"NON-COMPLIED",0,IF(COUNTIFS(INDEX($A$3:$AD$18,0,$AG$4),INDEX($A18:$AD18,$AG$4),INDEX($A$3:$AD$18,0,$AG$6),"NON-COMPLIED")=1,1,0)))))</f>
        <v>0</v>
      </c>
    </row>
    <row r="19" customFormat="false" ht="15" hidden="false" customHeight="false" outlineLevel="0" collapsed="false">
      <c r="AH19" s="21" t="n">
        <f aca="false">IF($AG$4=0,0,IF($AG$6=0,0,IF(INDEX($A19:$AD19,$AG$4)="",0,IF(INDEX($A19:$AD19,$AG$6)&lt;&gt;"NON-COMPLIED",0,IF(COUNTIFS(INDEX($A$3:$AD$19,0,$AG$4),INDEX($A19:$AD19,$AG$4),INDEX($A$3:$AD$19,0,$AG$6),"NON-COMPLIED")=1,1,0)))))</f>
        <v>0</v>
      </c>
    </row>
    <row r="20" customFormat="false" ht="15" hidden="false" customHeight="false" outlineLevel="0" collapsed="false">
      <c r="AH20" s="21" t="n">
        <f aca="false">IF($AG$4=0,0,IF($AG$6=0,0,IF(INDEX($A20:$AD20,$AG$4)="",0,IF(INDEX($A20:$AD20,$AG$6)&lt;&gt;"NON-COMPLIED",0,IF(COUNTIFS(INDEX($A$3:$AD$20,0,$AG$4),INDEX($A20:$AD20,$AG$4),INDEX($A$3:$AD$20,0,$AG$6),"NON-COMPLIED")=1,1,0)))))</f>
        <v>0</v>
      </c>
    </row>
    <row r="21" customFormat="false" ht="15" hidden="false" customHeight="false" outlineLevel="0" collapsed="false">
      <c r="AH21" s="21" t="n">
        <f aca="false">IF($AG$4=0,0,IF($AG$6=0,0,IF(INDEX($A21:$AD21,$AG$4)="",0,IF(INDEX($A21:$AD21,$AG$6)&lt;&gt;"NON-COMPLIED",0,IF(COUNTIFS(INDEX($A$3:$AD$21,0,$AG$4),INDEX($A21:$AD21,$AG$4),INDEX($A$3:$AD$21,0,$AG$6),"NON-COMPLIED")=1,1,0)))))</f>
        <v>0</v>
      </c>
    </row>
    <row r="22" customFormat="false" ht="15" hidden="false" customHeight="false" outlineLevel="0" collapsed="false">
      <c r="AH22" s="21" t="n">
        <f aca="false">IF($AG$4=0,0,IF($AG$6=0,0,IF(INDEX($A22:$AD22,$AG$4)="",0,IF(INDEX($A22:$AD22,$AG$6)&lt;&gt;"NON-COMPLIED",0,IF(COUNTIFS(INDEX($A$3:$AD$22,0,$AG$4),INDEX($A22:$AD22,$AG$4),INDEX($A$3:$AD$22,0,$AG$6),"NON-COMPLIED")=1,1,0)))))</f>
        <v>0</v>
      </c>
    </row>
    <row r="23" customFormat="false" ht="15" hidden="false" customHeight="false" outlineLevel="0" collapsed="false">
      <c r="AH23" s="21" t="n">
        <f aca="false">IF($AG$4=0,0,IF($AG$6=0,0,IF(INDEX($A23:$AD23,$AG$4)="",0,IF(INDEX($A23:$AD23,$AG$6)&lt;&gt;"NON-COMPLIED",0,IF(COUNTIFS(INDEX($A$3:$AD$23,0,$AG$4),INDEX($A23:$AD23,$AG$4),INDEX($A$3:$AD$23,0,$AG$6),"NON-COMPLIED")=1,1,0)))))</f>
        <v>0</v>
      </c>
    </row>
    <row r="24" customFormat="false" ht="15" hidden="false" customHeight="false" outlineLevel="0" collapsed="false">
      <c r="AH24" s="21" t="n">
        <f aca="false">IF($AG$4=0,0,IF($AG$6=0,0,IF(INDEX($A24:$AD24,$AG$4)="",0,IF(INDEX($A24:$AD24,$AG$6)&lt;&gt;"NON-COMPLIED",0,IF(COUNTIFS(INDEX($A$3:$AD$24,0,$AG$4),INDEX($A24:$AD24,$AG$4),INDEX($A$3:$AD$24,0,$AG$6),"NON-COMPLIED")=1,1,0)))))</f>
        <v>0</v>
      </c>
    </row>
    <row r="25" customFormat="false" ht="15" hidden="false" customHeight="false" outlineLevel="0" collapsed="false">
      <c r="AH25" s="21" t="n">
        <f aca="false">IF($AG$4=0,0,IF($AG$6=0,0,IF(INDEX($A25:$AD25,$AG$4)="",0,IF(INDEX($A25:$AD25,$AG$6)&lt;&gt;"NON-COMPLIED",0,IF(COUNTIFS(INDEX($A$3:$AD$25,0,$AG$4),INDEX($A25:$AD25,$AG$4),INDEX($A$3:$AD$25,0,$AG$6),"NON-COMPLIED")=1,1,0)))))</f>
        <v>0</v>
      </c>
    </row>
    <row r="26" customFormat="false" ht="15" hidden="false" customHeight="false" outlineLevel="0" collapsed="false">
      <c r="AH26" s="21" t="n">
        <f aca="false">IF($AG$4=0,0,IF($AG$6=0,0,IF(INDEX($A26:$AD26,$AG$4)="",0,IF(INDEX($A26:$AD26,$AG$6)&lt;&gt;"NON-COMPLIED",0,IF(COUNTIFS(INDEX($A$3:$AD$26,0,$AG$4),INDEX($A26:$AD26,$AG$4),INDEX($A$3:$AD$26,0,$AG$6),"NON-COMPLIED")=1,1,0)))))</f>
        <v>0</v>
      </c>
    </row>
    <row r="27" customFormat="false" ht="15" hidden="false" customHeight="false" outlineLevel="0" collapsed="false">
      <c r="AH27" s="21" t="n">
        <f aca="false">IF($AG$4=0,0,IF($AG$6=0,0,IF(INDEX($A27:$AD27,$AG$4)="",0,IF(INDEX($A27:$AD27,$AG$6)&lt;&gt;"NON-COMPLIED",0,IF(COUNTIFS(INDEX($A$3:$AD$27,0,$AG$4),INDEX($A27:$AD27,$AG$4),INDEX($A$3:$AD$27,0,$AG$6),"NON-COMPLIED")=1,1,0)))))</f>
        <v>0</v>
      </c>
    </row>
    <row r="28" customFormat="false" ht="15" hidden="false" customHeight="false" outlineLevel="0" collapsed="false">
      <c r="AH28" s="21" t="n">
        <f aca="false">IF($AG$4=0,0,IF($AG$6=0,0,IF(INDEX($A28:$AD28,$AG$4)="",0,IF(INDEX($A28:$AD28,$AG$6)&lt;&gt;"NON-COMPLIED",0,IF(COUNTIFS(INDEX($A$3:$AD$28,0,$AG$4),INDEX($A28:$AD28,$AG$4),INDEX($A$3:$AD$28,0,$AG$6),"NON-COMPLIED")=1,1,0)))))</f>
        <v>0</v>
      </c>
    </row>
    <row r="29" customFormat="false" ht="15" hidden="false" customHeight="false" outlineLevel="0" collapsed="false">
      <c r="AH29" s="21" t="n">
        <f aca="false">IF($AG$4=0,0,IF($AG$6=0,0,IF(INDEX($A29:$AD29,$AG$4)="",0,IF(INDEX($A29:$AD29,$AG$6)&lt;&gt;"NON-COMPLIED",0,IF(COUNTIFS(INDEX($A$3:$AD$29,0,$AG$4),INDEX($A29:$AD29,$AG$4),INDEX($A$3:$AD$29,0,$AG$6),"NON-COMPLIED")=1,1,0)))))</f>
        <v>0</v>
      </c>
    </row>
    <row r="30" customFormat="false" ht="15" hidden="false" customHeight="false" outlineLevel="0" collapsed="false">
      <c r="AH30" s="21" t="n">
        <f aca="false">IF($AG$4=0,0,IF($AG$6=0,0,IF(INDEX($A30:$AD30,$AG$4)="",0,IF(INDEX($A30:$AD30,$AG$6)&lt;&gt;"NON-COMPLIED",0,IF(COUNTIFS(INDEX($A$3:$AD$30,0,$AG$4),INDEX($A30:$AD30,$AG$4),INDEX($A$3:$AD$30,0,$AG$6),"NON-COMPLIED")=1,1,0)))))</f>
        <v>0</v>
      </c>
    </row>
    <row r="31" customFormat="false" ht="15" hidden="false" customHeight="false" outlineLevel="0" collapsed="false">
      <c r="AH31" s="21" t="n">
        <f aca="false">IF($AG$4=0,0,IF($AG$6=0,0,IF(INDEX($A31:$AD31,$AG$4)="",0,IF(INDEX($A31:$AD31,$AG$6)&lt;&gt;"NON-COMPLIED",0,IF(COUNTIFS(INDEX($A$3:$AD$31,0,$AG$4),INDEX($A31:$AD31,$AG$4),INDEX($A$3:$AD$31,0,$AG$6),"NON-COMPLIED")=1,1,0)))))</f>
        <v>0</v>
      </c>
    </row>
    <row r="32" customFormat="false" ht="15" hidden="false" customHeight="false" outlineLevel="0" collapsed="false">
      <c r="AH32" s="21" t="n">
        <f aca="false">IF($AG$4=0,0,IF($AG$6=0,0,IF(INDEX($A32:$AD32,$AG$4)="",0,IF(INDEX($A32:$AD32,$AG$6)&lt;&gt;"NON-COMPLIED",0,IF(COUNTIFS(INDEX($A$3:$AD$32,0,$AG$4),INDEX($A32:$AD32,$AG$4),INDEX($A$3:$AD$32,0,$AG$6),"NON-COMPLIED")=1,1,0)))))</f>
        <v>0</v>
      </c>
    </row>
    <row r="33" customFormat="false" ht="15" hidden="false" customHeight="false" outlineLevel="0" collapsed="false">
      <c r="AH33" s="21" t="n">
        <f aca="false">IF($AG$4=0,0,IF($AG$6=0,0,IF(INDEX($A33:$AD33,$AG$4)="",0,IF(INDEX($A33:$AD33,$AG$6)&lt;&gt;"NON-COMPLIED",0,IF(COUNTIFS(INDEX($A$3:$AD$33,0,$AG$4),INDEX($A33:$AD33,$AG$4),INDEX($A$3:$AD$33,0,$AG$6),"NON-COMPLIED")=1,1,0)))))</f>
        <v>0</v>
      </c>
    </row>
    <row r="34" customFormat="false" ht="15" hidden="false" customHeight="false" outlineLevel="0" collapsed="false">
      <c r="AH34" s="21" t="n">
        <f aca="false">IF($AG$4=0,0,IF($AG$6=0,0,IF(INDEX($A34:$AD34,$AG$4)="",0,IF(INDEX($A34:$AD34,$AG$6)&lt;&gt;"NON-COMPLIED",0,IF(COUNTIFS(INDEX($A$3:$AD$34,0,$AG$4),INDEX($A34:$AD34,$AG$4),INDEX($A$3:$AD$34,0,$AG$6),"NON-COMPLIED")=1,1,0)))))</f>
        <v>0</v>
      </c>
    </row>
    <row r="35" customFormat="false" ht="15" hidden="false" customHeight="false" outlineLevel="0" collapsed="false">
      <c r="AH35" s="21" t="n">
        <f aca="false">IF($AG$4=0,0,IF($AG$6=0,0,IF(INDEX($A35:$AD35,$AG$4)="",0,IF(INDEX($A35:$AD35,$AG$6)&lt;&gt;"NON-COMPLIED",0,IF(COUNTIFS(INDEX($A$3:$AD$35,0,$AG$4),INDEX($A35:$AD35,$AG$4),INDEX($A$3:$AD$35,0,$AG$6),"NON-COMPLIED")=1,1,0)))))</f>
        <v>0</v>
      </c>
    </row>
    <row r="36" customFormat="false" ht="15" hidden="false" customHeight="false" outlineLevel="0" collapsed="false">
      <c r="AH36" s="21" t="n">
        <f aca="false">IF($AG$4=0,0,IF($AG$6=0,0,IF(INDEX($A36:$AD36,$AG$4)="",0,IF(INDEX($A36:$AD36,$AG$6)&lt;&gt;"NON-COMPLIED",0,IF(COUNTIFS(INDEX($A$3:$AD$36,0,$AG$4),INDEX($A36:$AD36,$AG$4),INDEX($A$3:$AD$36,0,$AG$6),"NON-COMPLIED")=1,1,0)))))</f>
        <v>0</v>
      </c>
    </row>
    <row r="37" customFormat="false" ht="15" hidden="false" customHeight="false" outlineLevel="0" collapsed="false">
      <c r="AH37" s="21" t="n">
        <f aca="false">IF($AG$4=0,0,IF($AG$6=0,0,IF(INDEX($A37:$AD37,$AG$4)="",0,IF(INDEX($A37:$AD37,$AG$6)&lt;&gt;"NON-COMPLIED",0,IF(COUNTIFS(INDEX($A$3:$AD$37,0,$AG$4),INDEX($A37:$AD37,$AG$4),INDEX($A$3:$AD$37,0,$AG$6),"NON-COMPLIED")=1,1,0)))))</f>
        <v>0</v>
      </c>
    </row>
    <row r="38" customFormat="false" ht="15" hidden="false" customHeight="false" outlineLevel="0" collapsed="false">
      <c r="AH38" s="21" t="n">
        <f aca="false">IF($AG$4=0,0,IF($AG$6=0,0,IF(INDEX($A38:$AD38,$AG$4)="",0,IF(INDEX($A38:$AD38,$AG$6)&lt;&gt;"NON-COMPLIED",0,IF(COUNTIFS(INDEX($A$3:$AD$38,0,$AG$4),INDEX($A38:$AD38,$AG$4),INDEX($A$3:$AD$38,0,$AG$6),"NON-COMPLIED")=1,1,0)))))</f>
        <v>0</v>
      </c>
    </row>
    <row r="39" customFormat="false" ht="15" hidden="false" customHeight="false" outlineLevel="0" collapsed="false">
      <c r="AH39" s="21" t="n">
        <f aca="false">IF($AG$4=0,0,IF($AG$6=0,0,IF(INDEX($A39:$AD39,$AG$4)="",0,IF(INDEX($A39:$AD39,$AG$6)&lt;&gt;"NON-COMPLIED",0,IF(COUNTIFS(INDEX($A$3:$AD$39,0,$AG$4),INDEX($A39:$AD39,$AG$4),INDEX($A$3:$AD$39,0,$AG$6),"NON-COMPLIED")=1,1,0)))))</f>
        <v>0</v>
      </c>
    </row>
    <row r="40" customFormat="false" ht="15" hidden="false" customHeight="false" outlineLevel="0" collapsed="false">
      <c r="AH40" s="21" t="n">
        <f aca="false">IF($AG$4=0,0,IF($AG$6=0,0,IF(INDEX($A40:$AD40,$AG$4)="",0,IF(INDEX($A40:$AD40,$AG$6)&lt;&gt;"NON-COMPLIED",0,IF(COUNTIFS(INDEX($A$3:$AD$40,0,$AG$4),INDEX($A40:$AD40,$AG$4),INDEX($A$3:$AD$40,0,$AG$6),"NON-COMPLIED")=1,1,0)))))</f>
        <v>0</v>
      </c>
    </row>
    <row r="41" customFormat="false" ht="15" hidden="false" customHeight="false" outlineLevel="0" collapsed="false">
      <c r="AH41" s="21" t="n">
        <f aca="false">IF($AG$4=0,0,IF($AG$6=0,0,IF(INDEX($A41:$AD41,$AG$4)="",0,IF(INDEX($A41:$AD41,$AG$6)&lt;&gt;"NON-COMPLIED",0,IF(COUNTIFS(INDEX($A$3:$AD$41,0,$AG$4),INDEX($A41:$AD41,$AG$4),INDEX($A$3:$AD$41,0,$AG$6),"NON-COMPLIED")=1,1,0)))))</f>
        <v>0</v>
      </c>
    </row>
    <row r="42" customFormat="false" ht="15" hidden="false" customHeight="false" outlineLevel="0" collapsed="false">
      <c r="AH42" s="21" t="n">
        <f aca="false">IF($AG$4=0,0,IF($AG$6=0,0,IF(INDEX($A42:$AD42,$AG$4)="",0,IF(INDEX($A42:$AD42,$AG$6)&lt;&gt;"NON-COMPLIED",0,IF(COUNTIFS(INDEX($A$3:$AD$42,0,$AG$4),INDEX($A42:$AD42,$AG$4),INDEX($A$3:$AD$42,0,$AG$6),"NON-COMPLIED")=1,1,0)))))</f>
        <v>0</v>
      </c>
    </row>
    <row r="43" customFormat="false" ht="15" hidden="false" customHeight="false" outlineLevel="0" collapsed="false">
      <c r="AH43" s="21" t="n">
        <f aca="false">IF($AG$4=0,0,IF($AG$6=0,0,IF(INDEX($A43:$AD43,$AG$4)="",0,IF(INDEX($A43:$AD43,$AG$6)&lt;&gt;"NON-COMPLIED",0,IF(COUNTIFS(INDEX($A$3:$AD$43,0,$AG$4),INDEX($A43:$AD43,$AG$4),INDEX($A$3:$AD$43,0,$AG$6),"NON-COMPLIED")=1,1,0)))))</f>
        <v>0</v>
      </c>
    </row>
    <row r="44" customFormat="false" ht="15" hidden="false" customHeight="false" outlineLevel="0" collapsed="false">
      <c r="AH44" s="21" t="n">
        <f aca="false">IF($AG$4=0,0,IF($AG$6=0,0,IF(INDEX($A44:$AD44,$AG$4)="",0,IF(INDEX($A44:$AD44,$AG$6)&lt;&gt;"NON-COMPLIED",0,IF(COUNTIFS(INDEX($A$3:$AD$44,0,$AG$4),INDEX($A44:$AD44,$AG$4),INDEX($A$3:$AD$44,0,$AG$6),"NON-COMPLIED")=1,1,0)))))</f>
        <v>0</v>
      </c>
    </row>
    <row r="45" customFormat="false" ht="15" hidden="false" customHeight="false" outlineLevel="0" collapsed="false">
      <c r="AH45" s="21" t="n">
        <f aca="false">IF($AG$4=0,0,IF($AG$6=0,0,IF(INDEX($A45:$AD45,$AG$4)="",0,IF(INDEX($A45:$AD45,$AG$6)&lt;&gt;"NON-COMPLIED",0,IF(COUNTIFS(INDEX($A$3:$AD$45,0,$AG$4),INDEX($A45:$AD45,$AG$4),INDEX($A$3:$AD$45,0,$AG$6),"NON-COMPLIED")=1,1,0)))))</f>
        <v>0</v>
      </c>
    </row>
    <row r="46" customFormat="false" ht="15" hidden="false" customHeight="false" outlineLevel="0" collapsed="false">
      <c r="AH46" s="21" t="n">
        <f aca="false">IF($AG$4=0,0,IF($AG$6=0,0,IF(INDEX($A46:$AD46,$AG$4)="",0,IF(INDEX($A46:$AD46,$AG$6)&lt;&gt;"NON-COMPLIED",0,IF(COUNTIFS(INDEX($A$3:$AD$46,0,$AG$4),INDEX($A46:$AD46,$AG$4),INDEX($A$3:$AD$46,0,$AG$6),"NON-COMPLIED")=1,1,0)))))</f>
        <v>0</v>
      </c>
    </row>
    <row r="47" customFormat="false" ht="15" hidden="false" customHeight="false" outlineLevel="0" collapsed="false">
      <c r="AH47" s="21" t="n">
        <f aca="false">IF($AG$4=0,0,IF($AG$6=0,0,IF(INDEX($A47:$AD47,$AG$4)="",0,IF(INDEX($A47:$AD47,$AG$6)&lt;&gt;"NON-COMPLIED",0,IF(COUNTIFS(INDEX($A$3:$AD$47,0,$AG$4),INDEX($A47:$AD47,$AG$4),INDEX($A$3:$AD$47,0,$AG$6),"NON-COMPLIED")=1,1,0)))))</f>
        <v>0</v>
      </c>
    </row>
    <row r="48" customFormat="false" ht="15" hidden="false" customHeight="false" outlineLevel="0" collapsed="false">
      <c r="AH48" s="21" t="n">
        <f aca="false">IF($AG$4=0,0,IF($AG$6=0,0,IF(INDEX($A48:$AD48,$AG$4)="",0,IF(INDEX($A48:$AD48,$AG$6)&lt;&gt;"NON-COMPLIED",0,IF(COUNTIFS(INDEX($A$3:$AD$48,0,$AG$4),INDEX($A48:$AD48,$AG$4),INDEX($A$3:$AD$48,0,$AG$6),"NON-COMPLIED")=1,1,0)))))</f>
        <v>0</v>
      </c>
    </row>
    <row r="49" customFormat="false" ht="15" hidden="false" customHeight="false" outlineLevel="0" collapsed="false">
      <c r="AH49" s="21" t="n">
        <f aca="false">IF($AG$4=0,0,IF($AG$6=0,0,IF(INDEX($A49:$AD49,$AG$4)="",0,IF(INDEX($A49:$AD49,$AG$6)&lt;&gt;"NON-COMPLIED",0,IF(COUNTIFS(INDEX($A$3:$AD$49,0,$AG$4),INDEX($A49:$AD49,$AG$4),INDEX($A$3:$AD$49,0,$AG$6),"NON-COMPLIED")=1,1,0)))))</f>
        <v>0</v>
      </c>
    </row>
    <row r="50" customFormat="false" ht="15" hidden="false" customHeight="false" outlineLevel="0" collapsed="false">
      <c r="AH50" s="21" t="n">
        <f aca="false">IF($AG$4=0,0,IF($AG$6=0,0,IF(INDEX($A50:$AD50,$AG$4)="",0,IF(INDEX($A50:$AD50,$AG$6)&lt;&gt;"NON-COMPLIED",0,IF(COUNTIFS(INDEX($A$3:$AD$50,0,$AG$4),INDEX($A50:$AD50,$AG$4),INDEX($A$3:$AD$50,0,$AG$6),"NON-COMPLIED")=1,1,0)))))</f>
        <v>0</v>
      </c>
    </row>
    <row r="51" customFormat="false" ht="15" hidden="false" customHeight="false" outlineLevel="0" collapsed="false">
      <c r="AH51" s="21" t="n">
        <f aca="false">IF($AG$4=0,0,IF($AG$6=0,0,IF(INDEX($A51:$AD51,$AG$4)="",0,IF(INDEX($A51:$AD51,$AG$6)&lt;&gt;"NON-COMPLIED",0,IF(COUNTIFS(INDEX($A$3:$AD$51,0,$AG$4),INDEX($A51:$AD51,$AG$4),INDEX($A$3:$AD$51,0,$AG$6),"NON-COMPLIED")=1,1,0)))))</f>
        <v>0</v>
      </c>
    </row>
    <row r="52" customFormat="false" ht="15" hidden="false" customHeight="false" outlineLevel="0" collapsed="false">
      <c r="AH52" s="21" t="n">
        <f aca="false">IF($AG$4=0,0,IF($AG$6=0,0,IF(INDEX($A52:$AD52,$AG$4)="",0,IF(INDEX($A52:$AD52,$AG$6)&lt;&gt;"NON-COMPLIED",0,IF(COUNTIFS(INDEX($A$3:$AD$52,0,$AG$4),INDEX($A52:$AD52,$AG$4),INDEX($A$3:$AD$52,0,$AG$6),"NON-COMPLIED")=1,1,0)))))</f>
        <v>0</v>
      </c>
    </row>
    <row r="53" customFormat="false" ht="15" hidden="false" customHeight="false" outlineLevel="0" collapsed="false">
      <c r="AH53" s="21" t="n">
        <f aca="false">IF($AG$4=0,0,IF($AG$6=0,0,IF(INDEX($A53:$AD53,$AG$4)="",0,IF(INDEX($A53:$AD53,$AG$6)&lt;&gt;"NON-COMPLIED",0,IF(COUNTIFS(INDEX($A$3:$AD$53,0,$AG$4),INDEX($A53:$AD53,$AG$4),INDEX($A$3:$AD$53,0,$AG$6),"NON-COMPLIED")=1,1,0)))))</f>
        <v>0</v>
      </c>
    </row>
    <row r="54" customFormat="false" ht="15" hidden="false" customHeight="false" outlineLevel="0" collapsed="false">
      <c r="AH54" s="21" t="n">
        <f aca="false">IF($AG$4=0,0,IF($AG$6=0,0,IF(INDEX($A54:$AD54,$AG$4)="",0,IF(INDEX($A54:$AD54,$AG$6)&lt;&gt;"NON-COMPLIED",0,IF(COUNTIFS(INDEX($A$3:$AD$54,0,$AG$4),INDEX($A54:$AD54,$AG$4),INDEX($A$3:$AD$54,0,$AG$6),"NON-COMPLIED")=1,1,0)))))</f>
        <v>0</v>
      </c>
    </row>
    <row r="55" customFormat="false" ht="15" hidden="false" customHeight="false" outlineLevel="0" collapsed="false">
      <c r="AH55" s="21" t="n">
        <f aca="false">IF($AG$4=0,0,IF($AG$6=0,0,IF(INDEX($A55:$AD55,$AG$4)="",0,IF(INDEX($A55:$AD55,$AG$6)&lt;&gt;"NON-COMPLIED",0,IF(COUNTIFS(INDEX($A$3:$AD$55,0,$AG$4),INDEX($A55:$AD55,$AG$4),INDEX($A$3:$AD$55,0,$AG$6),"NON-COMPLIED")=1,1,0)))))</f>
        <v>0</v>
      </c>
    </row>
    <row r="56" customFormat="false" ht="15" hidden="false" customHeight="false" outlineLevel="0" collapsed="false">
      <c r="AH56" s="21" t="n">
        <f aca="false">IF($AG$4=0,0,IF($AG$6=0,0,IF(INDEX($A56:$AD56,$AG$4)="",0,IF(INDEX($A56:$AD56,$AG$6)&lt;&gt;"NON-COMPLIED",0,IF(COUNTIFS(INDEX($A$3:$AD$56,0,$AG$4),INDEX($A56:$AD56,$AG$4),INDEX($A$3:$AD$56,0,$AG$6),"NON-COMPLIED")=1,1,0)))))</f>
        <v>0</v>
      </c>
    </row>
    <row r="57" customFormat="false" ht="15" hidden="false" customHeight="false" outlineLevel="0" collapsed="false">
      <c r="AH57" s="21" t="n">
        <f aca="false">IF($AG$4=0,0,IF($AG$6=0,0,IF(INDEX($A57:$AD57,$AG$4)="",0,IF(INDEX($A57:$AD57,$AG$6)&lt;&gt;"NON-COMPLIED",0,IF(COUNTIFS(INDEX($A$3:$AD$57,0,$AG$4),INDEX($A57:$AD57,$AG$4),INDEX($A$3:$AD$57,0,$AG$6),"NON-COMPLIED")=1,1,0)))))</f>
        <v>0</v>
      </c>
    </row>
    <row r="58" customFormat="false" ht="15" hidden="false" customHeight="false" outlineLevel="0" collapsed="false">
      <c r="AH58" s="21" t="n">
        <f aca="false">IF($AG$4=0,0,IF($AG$6=0,0,IF(INDEX($A58:$AD58,$AG$4)="",0,IF(INDEX($A58:$AD58,$AG$6)&lt;&gt;"NON-COMPLIED",0,IF(COUNTIFS(INDEX($A$3:$AD$58,0,$AG$4),INDEX($A58:$AD58,$AG$4),INDEX($A$3:$AD$58,0,$AG$6),"NON-COMPLIED")=1,1,0)))))</f>
        <v>0</v>
      </c>
    </row>
    <row r="59" customFormat="false" ht="15" hidden="false" customHeight="false" outlineLevel="0" collapsed="false">
      <c r="AH59" s="21" t="n">
        <f aca="false">IF($AG$4=0,0,IF($AG$6=0,0,IF(INDEX($A59:$AD59,$AG$4)="",0,IF(INDEX($A59:$AD59,$AG$6)&lt;&gt;"NON-COMPLIED",0,IF(COUNTIFS(INDEX($A$3:$AD$59,0,$AG$4),INDEX($A59:$AD59,$AG$4),INDEX($A$3:$AD$59,0,$AG$6),"NON-COMPLIED")=1,1,0)))))</f>
        <v>0</v>
      </c>
    </row>
    <row r="60" customFormat="false" ht="15" hidden="false" customHeight="false" outlineLevel="0" collapsed="false">
      <c r="AH60" s="21" t="n">
        <f aca="false">IF($AG$4=0,0,IF($AG$6=0,0,IF(INDEX($A60:$AD60,$AG$4)="",0,IF(INDEX($A60:$AD60,$AG$6)&lt;&gt;"NON-COMPLIED",0,IF(COUNTIFS(INDEX($A$3:$AD$60,0,$AG$4),INDEX($A60:$AD60,$AG$4),INDEX($A$3:$AD$60,0,$AG$6),"NON-COMPLIED")=1,1,0)))))</f>
        <v>0</v>
      </c>
    </row>
    <row r="61" customFormat="false" ht="15" hidden="false" customHeight="false" outlineLevel="0" collapsed="false">
      <c r="AH61" s="21" t="n">
        <f aca="false">IF($AG$4=0,0,IF($AG$6=0,0,IF(INDEX($A61:$AD61,$AG$4)="",0,IF(INDEX($A61:$AD61,$AG$6)&lt;&gt;"NON-COMPLIED",0,IF(COUNTIFS(INDEX($A$3:$AD$61,0,$AG$4),INDEX($A61:$AD61,$AG$4),INDEX($A$3:$AD$61,0,$AG$6),"NON-COMPLIED")=1,1,0)))))</f>
        <v>0</v>
      </c>
    </row>
    <row r="62" customFormat="false" ht="15" hidden="false" customHeight="false" outlineLevel="0" collapsed="false">
      <c r="AH62" s="21" t="n">
        <f aca="false">IF($AG$4=0,0,IF($AG$6=0,0,IF(INDEX($A62:$AD62,$AG$4)="",0,IF(INDEX($A62:$AD62,$AG$6)&lt;&gt;"NON-COMPLIED",0,IF(COUNTIFS(INDEX($A$3:$AD$62,0,$AG$4),INDEX($A62:$AD62,$AG$4),INDEX($A$3:$AD$62,0,$AG$6),"NON-COMPLIED")=1,1,0)))))</f>
        <v>0</v>
      </c>
    </row>
    <row r="63" customFormat="false" ht="15" hidden="false" customHeight="false" outlineLevel="0" collapsed="false">
      <c r="AH63" s="21" t="n">
        <f aca="false">IF($AG$4=0,0,IF($AG$6=0,0,IF(INDEX($A63:$AD63,$AG$4)="",0,IF(INDEX($A63:$AD63,$AG$6)&lt;&gt;"NON-COMPLIED",0,IF(COUNTIFS(INDEX($A$3:$AD$63,0,$AG$4),INDEX($A63:$AD63,$AG$4),INDEX($A$3:$AD$63,0,$AG$6),"NON-COMPLIED")=1,1,0)))))</f>
        <v>0</v>
      </c>
    </row>
    <row r="64" customFormat="false" ht="15" hidden="false" customHeight="false" outlineLevel="0" collapsed="false">
      <c r="AH64" s="21" t="n">
        <f aca="false">IF($AG$4=0,0,IF($AG$6=0,0,IF(INDEX($A64:$AD64,$AG$4)="",0,IF(INDEX($A64:$AD64,$AG$6)&lt;&gt;"NON-COMPLIED",0,IF(COUNTIFS(INDEX($A$3:$AD$64,0,$AG$4),INDEX($A64:$AD64,$AG$4),INDEX($A$3:$AD$64,0,$AG$6),"NON-COMPLIED")=1,1,0)))))</f>
        <v>0</v>
      </c>
    </row>
    <row r="65" customFormat="false" ht="15" hidden="false" customHeight="false" outlineLevel="0" collapsed="false">
      <c r="AH65" s="21" t="n">
        <f aca="false">IF($AG$4=0,0,IF($AG$6=0,0,IF(INDEX($A65:$AD65,$AG$4)="",0,IF(INDEX($A65:$AD65,$AG$6)&lt;&gt;"NON-COMPLIED",0,IF(COUNTIFS(INDEX($A$3:$AD$65,0,$AG$4),INDEX($A65:$AD65,$AG$4),INDEX($A$3:$AD$65,0,$AG$6),"NON-COMPLIED")=1,1,0)))))</f>
        <v>0</v>
      </c>
    </row>
    <row r="66" customFormat="false" ht="15" hidden="false" customHeight="false" outlineLevel="0" collapsed="false">
      <c r="AH66" s="21" t="n">
        <f aca="false">IF($AG$4=0,0,IF($AG$6=0,0,IF(INDEX($A66:$AD66,$AG$4)="",0,IF(INDEX($A66:$AD66,$AG$6)&lt;&gt;"NON-COMPLIED",0,IF(COUNTIFS(INDEX($A$3:$AD$66,0,$AG$4),INDEX($A66:$AD66,$AG$4),INDEX($A$3:$AD$66,0,$AG$6),"NON-COMPLIED")=1,1,0)))))</f>
        <v>0</v>
      </c>
    </row>
    <row r="67" customFormat="false" ht="15" hidden="false" customHeight="false" outlineLevel="0" collapsed="false">
      <c r="AH67" s="21" t="n">
        <f aca="false">IF($AG$4=0,0,IF($AG$6=0,0,IF(INDEX($A67:$AD67,$AG$4)="",0,IF(INDEX($A67:$AD67,$AG$6)&lt;&gt;"NON-COMPLIED",0,IF(COUNTIFS(INDEX($A$3:$AD$67,0,$AG$4),INDEX($A67:$AD67,$AG$4),INDEX($A$3:$AD$67,0,$AG$6),"NON-COMPLIED")=1,1,0)))))</f>
        <v>0</v>
      </c>
    </row>
    <row r="68" customFormat="false" ht="15" hidden="false" customHeight="false" outlineLevel="0" collapsed="false">
      <c r="AH68" s="21" t="n">
        <f aca="false">IF($AG$4=0,0,IF($AG$6=0,0,IF(INDEX($A68:$AD68,$AG$4)="",0,IF(INDEX($A68:$AD68,$AG$6)&lt;&gt;"NON-COMPLIED",0,IF(COUNTIFS(INDEX($A$3:$AD$68,0,$AG$4),INDEX($A68:$AD68,$AG$4),INDEX($A$3:$AD$68,0,$AG$6),"NON-COMPLIED")=1,1,0)))))</f>
        <v>0</v>
      </c>
    </row>
    <row r="69" customFormat="false" ht="15" hidden="false" customHeight="false" outlineLevel="0" collapsed="false">
      <c r="AH69" s="21" t="n">
        <f aca="false">IF($AG$4=0,0,IF($AG$6=0,0,IF(INDEX($A69:$AD69,$AG$4)="",0,IF(INDEX($A69:$AD69,$AG$6)&lt;&gt;"NON-COMPLIED",0,IF(COUNTIFS(INDEX($A$3:$AD$69,0,$AG$4),INDEX($A69:$AD69,$AG$4),INDEX($A$3:$AD$69,0,$AG$6),"NON-COMPLIED")=1,1,0)))))</f>
        <v>0</v>
      </c>
    </row>
    <row r="70" customFormat="false" ht="15" hidden="false" customHeight="false" outlineLevel="0" collapsed="false">
      <c r="AH70" s="21" t="n">
        <f aca="false">IF($AG$4=0,0,IF($AG$6=0,0,IF(INDEX($A70:$AD70,$AG$4)="",0,IF(INDEX($A70:$AD70,$AG$6)&lt;&gt;"NON-COMPLIED",0,IF(COUNTIFS(INDEX($A$3:$AD$70,0,$AG$4),INDEX($A70:$AD70,$AG$4),INDEX($A$3:$AD$70,0,$AG$6),"NON-COMPLIED")=1,1,0)))))</f>
        <v>0</v>
      </c>
    </row>
    <row r="71" customFormat="false" ht="15" hidden="false" customHeight="false" outlineLevel="0" collapsed="false">
      <c r="AH71" s="21" t="n">
        <f aca="false">IF($AG$4=0,0,IF($AG$6=0,0,IF(INDEX($A71:$AD71,$AG$4)="",0,IF(INDEX($A71:$AD71,$AG$6)&lt;&gt;"NON-COMPLIED",0,IF(COUNTIFS(INDEX($A$3:$AD$71,0,$AG$4),INDEX($A71:$AD71,$AG$4),INDEX($A$3:$AD$71,0,$AG$6),"NON-COMPLIED")=1,1,0)))))</f>
        <v>0</v>
      </c>
    </row>
    <row r="72" customFormat="false" ht="15" hidden="false" customHeight="false" outlineLevel="0" collapsed="false">
      <c r="AH72" s="21" t="n">
        <f aca="false">IF($AG$4=0,0,IF($AG$6=0,0,IF(INDEX($A72:$AD72,$AG$4)="",0,IF(INDEX($A72:$AD72,$AG$6)&lt;&gt;"NON-COMPLIED",0,IF(COUNTIFS(INDEX($A$3:$AD$72,0,$AG$4),INDEX($A72:$AD72,$AG$4),INDEX($A$3:$AD$72,0,$AG$6),"NON-COMPLIED")=1,1,0)))))</f>
        <v>0</v>
      </c>
    </row>
    <row r="73" customFormat="false" ht="15" hidden="false" customHeight="false" outlineLevel="0" collapsed="false">
      <c r="AH73" s="21" t="n">
        <f aca="false">IF($AG$4=0,0,IF($AG$6=0,0,IF(INDEX($A73:$AD73,$AG$4)="",0,IF(INDEX($A73:$AD73,$AG$6)&lt;&gt;"NON-COMPLIED",0,IF(COUNTIFS(INDEX($A$3:$AD$73,0,$AG$4),INDEX($A73:$AD73,$AG$4),INDEX($A$3:$AD$73,0,$AG$6),"NON-COMPLIED")=1,1,0)))))</f>
        <v>0</v>
      </c>
    </row>
    <row r="74" customFormat="false" ht="15" hidden="false" customHeight="false" outlineLevel="0" collapsed="false">
      <c r="AH74" s="21" t="n">
        <f aca="false">IF($AG$4=0,0,IF($AG$6=0,0,IF(INDEX($A74:$AD74,$AG$4)="",0,IF(INDEX($A74:$AD74,$AG$6)&lt;&gt;"NON-COMPLIED",0,IF(COUNTIFS(INDEX($A$3:$AD$74,0,$AG$4),INDEX($A74:$AD74,$AG$4),INDEX($A$3:$AD$74,0,$AG$6),"NON-COMPLIED")=1,1,0)))))</f>
        <v>0</v>
      </c>
    </row>
    <row r="75" customFormat="false" ht="15" hidden="false" customHeight="false" outlineLevel="0" collapsed="false">
      <c r="AH75" s="21" t="n">
        <f aca="false">IF($AG$4=0,0,IF($AG$6=0,0,IF(INDEX($A75:$AD75,$AG$4)="",0,IF(INDEX($A75:$AD75,$AG$6)&lt;&gt;"NON-COMPLIED",0,IF(COUNTIFS(INDEX($A$3:$AD$75,0,$AG$4),INDEX($A75:$AD75,$AG$4),INDEX($A$3:$AD$75,0,$AG$6),"NON-COMPLIED")=1,1,0)))))</f>
        <v>0</v>
      </c>
    </row>
    <row r="76" customFormat="false" ht="15" hidden="false" customHeight="false" outlineLevel="0" collapsed="false">
      <c r="AH76" s="21" t="n">
        <f aca="false">IF($AG$4=0,0,IF($AG$6=0,0,IF(INDEX($A76:$AD76,$AG$4)="",0,IF(INDEX($A76:$AD76,$AG$6)&lt;&gt;"NON-COMPLIED",0,IF(COUNTIFS(INDEX($A$3:$AD$76,0,$AG$4),INDEX($A76:$AD76,$AG$4),INDEX($A$3:$AD$76,0,$AG$6),"NON-COMPLIED")=1,1,0)))))</f>
        <v>0</v>
      </c>
    </row>
    <row r="77" customFormat="false" ht="15" hidden="false" customHeight="false" outlineLevel="0" collapsed="false">
      <c r="AH77" s="21" t="n">
        <f aca="false">IF($AG$4=0,0,IF($AG$6=0,0,IF(INDEX($A77:$AD77,$AG$4)="",0,IF(INDEX($A77:$AD77,$AG$6)&lt;&gt;"NON-COMPLIED",0,IF(COUNTIFS(INDEX($A$3:$AD$77,0,$AG$4),INDEX($A77:$AD77,$AG$4),INDEX($A$3:$AD$77,0,$AG$6),"NON-COMPLIED")=1,1,0)))))</f>
        <v>0</v>
      </c>
    </row>
    <row r="78" customFormat="false" ht="15" hidden="false" customHeight="false" outlineLevel="0" collapsed="false">
      <c r="AH78" s="21" t="n">
        <f aca="false">IF($AG$4=0,0,IF($AG$6=0,0,IF(INDEX($A78:$AD78,$AG$4)="",0,IF(INDEX($A78:$AD78,$AG$6)&lt;&gt;"NON-COMPLIED",0,IF(COUNTIFS(INDEX($A$3:$AD$78,0,$AG$4),INDEX($A78:$AD78,$AG$4),INDEX($A$3:$AD$78,0,$AG$6),"NON-COMPLIED")=1,1,0)))))</f>
        <v>0</v>
      </c>
    </row>
    <row r="79" customFormat="false" ht="15" hidden="false" customHeight="false" outlineLevel="0" collapsed="false">
      <c r="AH79" s="21" t="n">
        <f aca="false">IF($AG$4=0,0,IF($AG$6=0,0,IF(INDEX($A79:$AD79,$AG$4)="",0,IF(INDEX($A79:$AD79,$AG$6)&lt;&gt;"NON-COMPLIED",0,IF(COUNTIFS(INDEX($A$3:$AD$79,0,$AG$4),INDEX($A79:$AD79,$AG$4),INDEX($A$3:$AD$79,0,$AG$6),"NON-COMPLIED")=1,1,0)))))</f>
        <v>0</v>
      </c>
    </row>
    <row r="80" customFormat="false" ht="15" hidden="false" customHeight="false" outlineLevel="0" collapsed="false">
      <c r="AH80" s="21" t="n">
        <f aca="false">IF($AG$4=0,0,IF($AG$6=0,0,IF(INDEX($A80:$AD80,$AG$4)="",0,IF(INDEX($A80:$AD80,$AG$6)&lt;&gt;"NON-COMPLIED",0,IF(COUNTIFS(INDEX($A$3:$AD$80,0,$AG$4),INDEX($A80:$AD80,$AG$4),INDEX($A$3:$AD$80,0,$AG$6),"NON-COMPLIED")=1,1,0)))))</f>
        <v>0</v>
      </c>
    </row>
    <row r="81" customFormat="false" ht="15" hidden="false" customHeight="false" outlineLevel="0" collapsed="false">
      <c r="AH81" s="21" t="n">
        <f aca="false">IF($AG$4=0,0,IF($AG$6=0,0,IF(INDEX($A81:$AD81,$AG$4)="",0,IF(INDEX($A81:$AD81,$AG$6)&lt;&gt;"NON-COMPLIED",0,IF(COUNTIFS(INDEX($A$3:$AD$81,0,$AG$4),INDEX($A81:$AD81,$AG$4),INDEX($A$3:$AD$81,0,$AG$6),"NON-COMPLIED")=1,1,0)))))</f>
        <v>0</v>
      </c>
    </row>
    <row r="82" customFormat="false" ht="15" hidden="false" customHeight="false" outlineLevel="0" collapsed="false">
      <c r="AH82" s="21" t="n">
        <f aca="false">IF($AG$4=0,0,IF($AG$6=0,0,IF(INDEX($A82:$AD82,$AG$4)="",0,IF(INDEX($A82:$AD82,$AG$6)&lt;&gt;"NON-COMPLIED",0,IF(COUNTIFS(INDEX($A$3:$AD$82,0,$AG$4),INDEX($A82:$AD82,$AG$4),INDEX($A$3:$AD$82,0,$AG$6),"NON-COMPLIED")=1,1,0)))))</f>
        <v>0</v>
      </c>
    </row>
    <row r="83" customFormat="false" ht="15" hidden="false" customHeight="false" outlineLevel="0" collapsed="false">
      <c r="AH83" s="21" t="n">
        <f aca="false">IF($AG$4=0,0,IF($AG$6=0,0,IF(INDEX($A83:$AD83,$AG$4)="",0,IF(INDEX($A83:$AD83,$AG$6)&lt;&gt;"NON-COMPLIED",0,IF(COUNTIFS(INDEX($A$3:$AD$83,0,$AG$4),INDEX($A83:$AD83,$AG$4),INDEX($A$3:$AD$83,0,$AG$6),"NON-COMPLIED")=1,1,0)))))</f>
        <v>0</v>
      </c>
    </row>
    <row r="84" customFormat="false" ht="15" hidden="false" customHeight="false" outlineLevel="0" collapsed="false">
      <c r="AH84" s="21" t="n">
        <f aca="false">IF($AG$4=0,0,IF($AG$6=0,0,IF(INDEX($A84:$AD84,$AG$4)="",0,IF(INDEX($A84:$AD84,$AG$6)&lt;&gt;"NON-COMPLIED",0,IF(COUNTIFS(INDEX($A$3:$AD$84,0,$AG$4),INDEX($A84:$AD84,$AG$4),INDEX($A$3:$AD$84,0,$AG$6),"NON-COMPLIED")=1,1,0)))))</f>
        <v>0</v>
      </c>
    </row>
    <row r="85" customFormat="false" ht="15" hidden="false" customHeight="false" outlineLevel="0" collapsed="false">
      <c r="AH85" s="21" t="n">
        <f aca="false">IF($AG$4=0,0,IF($AG$6=0,0,IF(INDEX($A85:$AD85,$AG$4)="",0,IF(INDEX($A85:$AD85,$AG$6)&lt;&gt;"NON-COMPLIED",0,IF(COUNTIFS(INDEX($A$3:$AD$85,0,$AG$4),INDEX($A85:$AD85,$AG$4),INDEX($A$3:$AD$85,0,$AG$6),"NON-COMPLIED")=1,1,0)))))</f>
        <v>0</v>
      </c>
    </row>
    <row r="86" customFormat="false" ht="15" hidden="false" customHeight="false" outlineLevel="0" collapsed="false">
      <c r="AH86" s="21" t="n">
        <f aca="false">IF($AG$4=0,0,IF($AG$6=0,0,IF(INDEX($A86:$AD86,$AG$4)="",0,IF(INDEX($A86:$AD86,$AG$6)&lt;&gt;"NON-COMPLIED",0,IF(COUNTIFS(INDEX($A$3:$AD$86,0,$AG$4),INDEX($A86:$AD86,$AG$4),INDEX($A$3:$AD$86,0,$AG$6),"NON-COMPLIED")=1,1,0)))))</f>
        <v>0</v>
      </c>
    </row>
    <row r="87" customFormat="false" ht="15" hidden="false" customHeight="false" outlineLevel="0" collapsed="false">
      <c r="AH87" s="21" t="n">
        <f aca="false">IF($AG$4=0,0,IF($AG$6=0,0,IF(INDEX($A87:$AD87,$AG$4)="",0,IF(INDEX($A87:$AD87,$AG$6)&lt;&gt;"NON-COMPLIED",0,IF(COUNTIFS(INDEX($A$3:$AD$87,0,$AG$4),INDEX($A87:$AD87,$AG$4),INDEX($A$3:$AD$87,0,$AG$6),"NON-COMPLIED")=1,1,0)))))</f>
        <v>0</v>
      </c>
    </row>
    <row r="88" customFormat="false" ht="15" hidden="false" customHeight="false" outlineLevel="0" collapsed="false">
      <c r="AH88" s="21" t="n">
        <f aca="false">IF($AG$4=0,0,IF($AG$6=0,0,IF(INDEX($A88:$AD88,$AG$4)="",0,IF(INDEX($A88:$AD88,$AG$6)&lt;&gt;"NON-COMPLIED",0,IF(COUNTIFS(INDEX($A$3:$AD$88,0,$AG$4),INDEX($A88:$AD88,$AG$4),INDEX($A$3:$AD$88,0,$AG$6),"NON-COMPLIED")=1,1,0)))))</f>
        <v>0</v>
      </c>
    </row>
    <row r="89" customFormat="false" ht="15" hidden="false" customHeight="false" outlineLevel="0" collapsed="false">
      <c r="AH89" s="21" t="n">
        <f aca="false">IF($AG$4=0,0,IF($AG$6=0,0,IF(INDEX($A89:$AD89,$AG$4)="",0,IF(INDEX($A89:$AD89,$AG$6)&lt;&gt;"NON-COMPLIED",0,IF(COUNTIFS(INDEX($A$3:$AD$89,0,$AG$4),INDEX($A89:$AD89,$AG$4),INDEX($A$3:$AD$89,0,$AG$6),"NON-COMPLIED")=1,1,0)))))</f>
        <v>0</v>
      </c>
    </row>
    <row r="90" customFormat="false" ht="15" hidden="false" customHeight="false" outlineLevel="0" collapsed="false">
      <c r="AH90" s="21" t="n">
        <f aca="false">IF($AG$4=0,0,IF($AG$6=0,0,IF(INDEX($A90:$AD90,$AG$4)="",0,IF(INDEX($A90:$AD90,$AG$6)&lt;&gt;"NON-COMPLIED",0,IF(COUNTIFS(INDEX($A$3:$AD$90,0,$AG$4),INDEX($A90:$AD90,$AG$4),INDEX($A$3:$AD$90,0,$AG$6),"NON-COMPLIED")=1,1,0)))))</f>
        <v>0</v>
      </c>
    </row>
    <row r="91" customFormat="false" ht="15" hidden="false" customHeight="false" outlineLevel="0" collapsed="false">
      <c r="AH91" s="21" t="n">
        <f aca="false">IF($AG$4=0,0,IF($AG$6=0,0,IF(INDEX($A91:$AD91,$AG$4)="",0,IF(INDEX($A91:$AD91,$AG$6)&lt;&gt;"NON-COMPLIED",0,IF(COUNTIFS(INDEX($A$3:$AD$91,0,$AG$4),INDEX($A91:$AD91,$AG$4),INDEX($A$3:$AD$91,0,$AG$6),"NON-COMPLIED")=1,1,0)))))</f>
        <v>0</v>
      </c>
    </row>
    <row r="92" customFormat="false" ht="15" hidden="false" customHeight="false" outlineLevel="0" collapsed="false">
      <c r="AH92" s="21" t="n">
        <f aca="false">IF($AG$4=0,0,IF($AG$6=0,0,IF(INDEX($A92:$AD92,$AG$4)="",0,IF(INDEX($A92:$AD92,$AG$6)&lt;&gt;"NON-COMPLIED",0,IF(COUNTIFS(INDEX($A$3:$AD$92,0,$AG$4),INDEX($A92:$AD92,$AG$4),INDEX($A$3:$AD$92,0,$AG$6),"NON-COMPLIED")=1,1,0)))))</f>
        <v>0</v>
      </c>
    </row>
    <row r="93" customFormat="false" ht="15" hidden="false" customHeight="false" outlineLevel="0" collapsed="false">
      <c r="AH93" s="21" t="n">
        <f aca="false">IF($AG$4=0,0,IF($AG$6=0,0,IF(INDEX($A93:$AD93,$AG$4)="",0,IF(INDEX($A93:$AD93,$AG$6)&lt;&gt;"NON-COMPLIED",0,IF(COUNTIFS(INDEX($A$3:$AD$93,0,$AG$4),INDEX($A93:$AD93,$AG$4),INDEX($A$3:$AD$93,0,$AG$6),"NON-COMPLIED")=1,1,0)))))</f>
        <v>0</v>
      </c>
    </row>
    <row r="94" customFormat="false" ht="15" hidden="false" customHeight="false" outlineLevel="0" collapsed="false">
      <c r="AH94" s="21" t="n">
        <f aca="false">IF($AG$4=0,0,IF($AG$6=0,0,IF(INDEX($A94:$AD94,$AG$4)="",0,IF(INDEX($A94:$AD94,$AG$6)&lt;&gt;"NON-COMPLIED",0,IF(COUNTIFS(INDEX($A$3:$AD$94,0,$AG$4),INDEX($A94:$AD94,$AG$4),INDEX($A$3:$AD$94,0,$AG$6),"NON-COMPLIED")=1,1,0)))))</f>
        <v>0</v>
      </c>
    </row>
    <row r="95" customFormat="false" ht="15" hidden="false" customHeight="false" outlineLevel="0" collapsed="false">
      <c r="AH95" s="21" t="n">
        <f aca="false">IF($AG$4=0,0,IF($AG$6=0,0,IF(INDEX($A95:$AD95,$AG$4)="",0,IF(INDEX($A95:$AD95,$AG$6)&lt;&gt;"NON-COMPLIED",0,IF(COUNTIFS(INDEX($A$3:$AD$95,0,$AG$4),INDEX($A95:$AD95,$AG$4),INDEX($A$3:$AD$95,0,$AG$6),"NON-COMPLIED")=1,1,0)))))</f>
        <v>0</v>
      </c>
    </row>
    <row r="96" customFormat="false" ht="15" hidden="false" customHeight="false" outlineLevel="0" collapsed="false">
      <c r="AH96" s="21" t="n">
        <f aca="false">IF($AG$4=0,0,IF($AG$6=0,0,IF(INDEX($A96:$AD96,$AG$4)="",0,IF(INDEX($A96:$AD96,$AG$6)&lt;&gt;"NON-COMPLIED",0,IF(COUNTIFS(INDEX($A$3:$AD$96,0,$AG$4),INDEX($A96:$AD96,$AG$4),INDEX($A$3:$AD$96,0,$AG$6),"NON-COMPLIED")=1,1,0)))))</f>
        <v>0</v>
      </c>
    </row>
    <row r="97" customFormat="false" ht="15" hidden="false" customHeight="false" outlineLevel="0" collapsed="false">
      <c r="AH97" s="21" t="n">
        <f aca="false">IF($AG$4=0,0,IF($AG$6=0,0,IF(INDEX($A97:$AD97,$AG$4)="",0,IF(INDEX($A97:$AD97,$AG$6)&lt;&gt;"NON-COMPLIED",0,IF(COUNTIFS(INDEX($A$3:$AD$97,0,$AG$4),INDEX($A97:$AD97,$AG$4),INDEX($A$3:$AD$97,0,$AG$6),"NON-COMPLIED")=1,1,0)))))</f>
        <v>0</v>
      </c>
    </row>
    <row r="98" customFormat="false" ht="15" hidden="false" customHeight="false" outlineLevel="0" collapsed="false">
      <c r="AH98" s="21" t="n">
        <f aca="false">IF($AG$4=0,0,IF($AG$6=0,0,IF(INDEX($A98:$AD98,$AG$4)="",0,IF(INDEX($A98:$AD98,$AG$6)&lt;&gt;"NON-COMPLIED",0,IF(COUNTIFS(INDEX($A$3:$AD$98,0,$AG$4),INDEX($A98:$AD98,$AG$4),INDEX($A$3:$AD$98,0,$AG$6),"NON-COMPLIED")=1,1,0)))))</f>
        <v>0</v>
      </c>
    </row>
    <row r="99" customFormat="false" ht="15" hidden="false" customHeight="false" outlineLevel="0" collapsed="false">
      <c r="AH99" s="21" t="n">
        <f aca="false">IF($AG$4=0,0,IF($AG$6=0,0,IF(INDEX($A99:$AD99,$AG$4)="",0,IF(INDEX($A99:$AD99,$AG$6)&lt;&gt;"NON-COMPLIED",0,IF(COUNTIFS(INDEX($A$3:$AD$99,0,$AG$4),INDEX($A99:$AD99,$AG$4),INDEX($A$3:$AD$99,0,$AG$6),"NON-COMPLIED")=1,1,0)))))</f>
        <v>0</v>
      </c>
    </row>
    <row r="100" customFormat="false" ht="15" hidden="false" customHeight="false" outlineLevel="0" collapsed="false">
      <c r="AH100" s="21" t="n">
        <f aca="false">IF($AG$4=0,0,IF($AG$6=0,0,IF(INDEX($A100:$AD100,$AG$4)="",0,IF(INDEX($A100:$AD100,$AG$6)&lt;&gt;"NON-COMPLIED",0,IF(COUNTIFS(INDEX($A$3:$AD$100,0,$AG$4),INDEX($A100:$AD100,$AG$4),INDEX($A$3:$AD$100,0,$AG$6),"NON-COMPLIED")=1,1,0)))))</f>
        <v>0</v>
      </c>
    </row>
    <row r="101" customFormat="false" ht="15" hidden="false" customHeight="false" outlineLevel="0" collapsed="false">
      <c r="AH101" s="21" t="n">
        <f aca="false">IF($AG$4=0,0,IF($AG$6=0,0,IF(INDEX($A101:$AD101,$AG$4)="",0,IF(INDEX($A101:$AD101,$AG$6)&lt;&gt;"NON-COMPLIED",0,IF(COUNTIFS(INDEX($A$3:$AD$101,0,$AG$4),INDEX($A101:$AD101,$AG$4),INDEX($A$3:$AD$101,0,$AG$6),"NON-COMPLIED")=1,1,0)))))</f>
        <v>0</v>
      </c>
    </row>
    <row r="102" customFormat="false" ht="15" hidden="false" customHeight="false" outlineLevel="0" collapsed="false">
      <c r="AH102" s="21" t="n">
        <f aca="false">IF($AG$4=0,0,IF($AG$6=0,0,IF(INDEX($A102:$AD102,$AG$4)="",0,IF(INDEX($A102:$AD102,$AG$6)&lt;&gt;"NON-COMPLIED",0,IF(COUNTIFS(INDEX($A$3:$AD$102,0,$AG$4),INDEX($A102:$AD102,$AG$4),INDEX($A$3:$AD$102,0,$AG$6),"NON-COMPLIED")=1,1,0)))))</f>
        <v>0</v>
      </c>
    </row>
    <row r="103" customFormat="false" ht="15" hidden="false" customHeight="false" outlineLevel="0" collapsed="false">
      <c r="AH103" s="21" t="n">
        <f aca="false">IF($AG$4=0,0,IF($AG$6=0,0,IF(INDEX($A103:$AD103,$AG$4)="",0,IF(INDEX($A103:$AD103,$AG$6)&lt;&gt;"NON-COMPLIED",0,IF(COUNTIFS(INDEX($A$3:$AD$103,0,$AG$4),INDEX($A103:$AD103,$AG$4),INDEX($A$3:$AD$103,0,$AG$6),"NON-COMPLIED")=1,1,0)))))</f>
        <v>0</v>
      </c>
    </row>
    <row r="104" customFormat="false" ht="15" hidden="false" customHeight="false" outlineLevel="0" collapsed="false">
      <c r="AH104" s="21" t="n">
        <f aca="false">IF($AG$4=0,0,IF($AG$6=0,0,IF(INDEX($A104:$AD104,$AG$4)="",0,IF(INDEX($A104:$AD104,$AG$6)&lt;&gt;"NON-COMPLIED",0,IF(COUNTIFS(INDEX($A$3:$AD$104,0,$AG$4),INDEX($A104:$AD104,$AG$4),INDEX($A$3:$AD$104,0,$AG$6),"NON-COMPLIED")=1,1,0)))))</f>
        <v>0</v>
      </c>
    </row>
    <row r="105" customFormat="false" ht="15" hidden="false" customHeight="false" outlineLevel="0" collapsed="false">
      <c r="AH105" s="21" t="n">
        <f aca="false">IF($AG$4=0,0,IF($AG$6=0,0,IF(INDEX($A105:$AD105,$AG$4)="",0,IF(INDEX($A105:$AD105,$AG$6)&lt;&gt;"NON-COMPLIED",0,IF(COUNTIFS(INDEX($A$3:$AD$105,0,$AG$4),INDEX($A105:$AD105,$AG$4),INDEX($A$3:$AD$105,0,$AG$6),"NON-COMPLIED")=1,1,0)))))</f>
        <v>0</v>
      </c>
    </row>
    <row r="106" customFormat="false" ht="15" hidden="false" customHeight="false" outlineLevel="0" collapsed="false">
      <c r="AH106" s="21" t="n">
        <f aca="false">IF($AG$4=0,0,IF($AG$6=0,0,IF(INDEX($A106:$AD106,$AG$4)="",0,IF(INDEX($A106:$AD106,$AG$6)&lt;&gt;"NON-COMPLIED",0,IF(COUNTIFS(INDEX($A$3:$AD$106,0,$AG$4),INDEX($A106:$AD106,$AG$4),INDEX($A$3:$AD$106,0,$AG$6),"NON-COMPLIED")=1,1,0)))))</f>
        <v>0</v>
      </c>
    </row>
    <row r="107" customFormat="false" ht="15" hidden="false" customHeight="false" outlineLevel="0" collapsed="false">
      <c r="AH107" s="21" t="n">
        <f aca="false">IF($AG$4=0,0,IF($AG$6=0,0,IF(INDEX($A107:$AD107,$AG$4)="",0,IF(INDEX($A107:$AD107,$AG$6)&lt;&gt;"NON-COMPLIED",0,IF(COUNTIFS(INDEX($A$3:$AD$107,0,$AG$4),INDEX($A107:$AD107,$AG$4),INDEX($A$3:$AD$107,0,$AG$6),"NON-COMPLIED")=1,1,0)))))</f>
        <v>0</v>
      </c>
    </row>
    <row r="108" customFormat="false" ht="15" hidden="false" customHeight="false" outlineLevel="0" collapsed="false">
      <c r="AH108" s="21" t="n">
        <f aca="false">IF($AG$4=0,0,IF($AG$6=0,0,IF(INDEX($A108:$AD108,$AG$4)="",0,IF(INDEX($A108:$AD108,$AG$6)&lt;&gt;"NON-COMPLIED",0,IF(COUNTIFS(INDEX($A$3:$AD$108,0,$AG$4),INDEX($A108:$AD108,$AG$4),INDEX($A$3:$AD$108,0,$AG$6),"NON-COMPLIED")=1,1,0)))))</f>
        <v>0</v>
      </c>
    </row>
    <row r="109" customFormat="false" ht="15" hidden="false" customHeight="false" outlineLevel="0" collapsed="false">
      <c r="AH109" s="21" t="n">
        <f aca="false">IF($AG$4=0,0,IF($AG$6=0,0,IF(INDEX($A109:$AD109,$AG$4)="",0,IF(INDEX($A109:$AD109,$AG$6)&lt;&gt;"NON-COMPLIED",0,IF(COUNTIFS(INDEX($A$3:$AD$109,0,$AG$4),INDEX($A109:$AD109,$AG$4),INDEX($A$3:$AD$109,0,$AG$6),"NON-COMPLIED")=1,1,0)))))</f>
        <v>0</v>
      </c>
    </row>
    <row r="110" customFormat="false" ht="15" hidden="false" customHeight="false" outlineLevel="0" collapsed="false">
      <c r="AH110" s="21" t="n">
        <f aca="false">IF($AG$4=0,0,IF($AG$6=0,0,IF(INDEX($A110:$AD110,$AG$4)="",0,IF(INDEX($A110:$AD110,$AG$6)&lt;&gt;"NON-COMPLIED",0,IF(COUNTIFS(INDEX($A$3:$AD$110,0,$AG$4),INDEX($A110:$AD110,$AG$4),INDEX($A$3:$AD$110,0,$AG$6),"NON-COMPLIED")=1,1,0)))))</f>
        <v>0</v>
      </c>
    </row>
    <row r="111" customFormat="false" ht="15" hidden="false" customHeight="false" outlineLevel="0" collapsed="false">
      <c r="AH111" s="21" t="n">
        <f aca="false">IF($AG$4=0,0,IF($AG$6=0,0,IF(INDEX($A111:$AD111,$AG$4)="",0,IF(INDEX($A111:$AD111,$AG$6)&lt;&gt;"NON-COMPLIED",0,IF(COUNTIFS(INDEX($A$3:$AD$111,0,$AG$4),INDEX($A111:$AD111,$AG$4),INDEX($A$3:$AD$111,0,$AG$6),"NON-COMPLIED")=1,1,0)))))</f>
        <v>0</v>
      </c>
    </row>
    <row r="112" customFormat="false" ht="15" hidden="false" customHeight="false" outlineLevel="0" collapsed="false">
      <c r="AH112" s="21" t="n">
        <f aca="false">IF($AG$4=0,0,IF($AG$6=0,0,IF(INDEX($A112:$AD112,$AG$4)="",0,IF(INDEX($A112:$AD112,$AG$6)&lt;&gt;"NON-COMPLIED",0,IF(COUNTIFS(INDEX($A$3:$AD$112,0,$AG$4),INDEX($A112:$AD112,$AG$4),INDEX($A$3:$AD$112,0,$AG$6),"NON-COMPLIED")=1,1,0)))))</f>
        <v>0</v>
      </c>
    </row>
    <row r="113" customFormat="false" ht="15" hidden="false" customHeight="false" outlineLevel="0" collapsed="false">
      <c r="AH113" s="21" t="n">
        <f aca="false">IF($AG$4=0,0,IF($AG$6=0,0,IF(INDEX($A113:$AD113,$AG$4)="",0,IF(INDEX($A113:$AD113,$AG$6)&lt;&gt;"NON-COMPLIED",0,IF(COUNTIFS(INDEX($A$3:$AD$113,0,$AG$4),INDEX($A113:$AD113,$AG$4),INDEX($A$3:$AD$113,0,$AG$6),"NON-COMPLIED")=1,1,0)))))</f>
        <v>0</v>
      </c>
    </row>
    <row r="114" customFormat="false" ht="15" hidden="false" customHeight="false" outlineLevel="0" collapsed="false">
      <c r="AH114" s="21" t="n">
        <f aca="false">IF($AG$4=0,0,IF($AG$6=0,0,IF(INDEX($A114:$AD114,$AG$4)="",0,IF(INDEX($A114:$AD114,$AG$6)&lt;&gt;"NON-COMPLIED",0,IF(COUNTIFS(INDEX($A$3:$AD$114,0,$AG$4),INDEX($A114:$AD114,$AG$4),INDEX($A$3:$AD$114,0,$AG$6),"NON-COMPLIED")=1,1,0)))))</f>
        <v>0</v>
      </c>
    </row>
    <row r="115" customFormat="false" ht="15" hidden="false" customHeight="false" outlineLevel="0" collapsed="false">
      <c r="AH115" s="21" t="n">
        <f aca="false">IF($AG$4=0,0,IF($AG$6=0,0,IF(INDEX($A115:$AD115,$AG$4)="",0,IF(INDEX($A115:$AD115,$AG$6)&lt;&gt;"NON-COMPLIED",0,IF(COUNTIFS(INDEX($A$3:$AD$115,0,$AG$4),INDEX($A115:$AD115,$AG$4),INDEX($A$3:$AD$115,0,$AG$6),"NON-COMPLIED")=1,1,0)))))</f>
        <v>0</v>
      </c>
    </row>
    <row r="116" customFormat="false" ht="15" hidden="false" customHeight="false" outlineLevel="0" collapsed="false">
      <c r="AH116" s="21" t="n">
        <f aca="false">IF($AG$4=0,0,IF($AG$6=0,0,IF(INDEX($A116:$AD116,$AG$4)="",0,IF(INDEX($A116:$AD116,$AG$6)&lt;&gt;"NON-COMPLIED",0,IF(COUNTIFS(INDEX($A$3:$AD$116,0,$AG$4),INDEX($A116:$AD116,$AG$4),INDEX($A$3:$AD$116,0,$AG$6),"NON-COMPLIED")=1,1,0)))))</f>
        <v>0</v>
      </c>
    </row>
    <row r="117" customFormat="false" ht="15" hidden="false" customHeight="false" outlineLevel="0" collapsed="false">
      <c r="AH117" s="21" t="n">
        <f aca="false">IF($AG$4=0,0,IF($AG$6=0,0,IF(INDEX($A117:$AD117,$AG$4)="",0,IF(INDEX($A117:$AD117,$AG$6)&lt;&gt;"NON-COMPLIED",0,IF(COUNTIFS(INDEX($A$3:$AD$117,0,$AG$4),INDEX($A117:$AD117,$AG$4),INDEX($A$3:$AD$117,0,$AG$6),"NON-COMPLIED")=1,1,0)))))</f>
        <v>0</v>
      </c>
    </row>
    <row r="118" customFormat="false" ht="15" hidden="false" customHeight="false" outlineLevel="0" collapsed="false">
      <c r="AH118" s="21" t="n">
        <f aca="false">IF($AG$4=0,0,IF($AG$6=0,0,IF(INDEX($A118:$AD118,$AG$4)="",0,IF(INDEX($A118:$AD118,$AG$6)&lt;&gt;"NON-COMPLIED",0,IF(COUNTIFS(INDEX($A$3:$AD$118,0,$AG$4),INDEX($A118:$AD118,$AG$4),INDEX($A$3:$AD$118,0,$AG$6),"NON-COMPLIED")=1,1,0)))))</f>
        <v>0</v>
      </c>
    </row>
    <row r="119" customFormat="false" ht="15" hidden="false" customHeight="false" outlineLevel="0" collapsed="false">
      <c r="AH119" s="21" t="n">
        <f aca="false">IF($AG$4=0,0,IF($AG$6=0,0,IF(INDEX($A119:$AD119,$AG$4)="",0,IF(INDEX($A119:$AD119,$AG$6)&lt;&gt;"NON-COMPLIED",0,IF(COUNTIFS(INDEX($A$3:$AD$119,0,$AG$4),INDEX($A119:$AD119,$AG$4),INDEX($A$3:$AD$119,0,$AG$6),"NON-COMPLIED")=1,1,0)))))</f>
        <v>0</v>
      </c>
    </row>
    <row r="120" customFormat="false" ht="15" hidden="false" customHeight="false" outlineLevel="0" collapsed="false">
      <c r="AH120" s="21" t="n">
        <f aca="false">IF($AG$4=0,0,IF($AG$6=0,0,IF(INDEX($A120:$AD120,$AG$4)="",0,IF(INDEX($A120:$AD120,$AG$6)&lt;&gt;"NON-COMPLIED",0,IF(COUNTIFS(INDEX($A$3:$AD$120,0,$AG$4),INDEX($A120:$AD120,$AG$4),INDEX($A$3:$AD$120,0,$AG$6),"NON-COMPLIED")=1,1,0)))))</f>
        <v>0</v>
      </c>
    </row>
    <row r="121" customFormat="false" ht="15" hidden="false" customHeight="false" outlineLevel="0" collapsed="false">
      <c r="AH121" s="21" t="n">
        <f aca="false">IF($AG$4=0,0,IF($AG$6=0,0,IF(INDEX($A121:$AD121,$AG$4)="",0,IF(INDEX($A121:$AD121,$AG$6)&lt;&gt;"NON-COMPLIED",0,IF(COUNTIFS(INDEX($A$3:$AD$121,0,$AG$4),INDEX($A121:$AD121,$AG$4),INDEX($A$3:$AD$121,0,$AG$6),"NON-COMPLIED")=1,1,0)))))</f>
        <v>0</v>
      </c>
    </row>
    <row r="122" customFormat="false" ht="15" hidden="false" customHeight="false" outlineLevel="0" collapsed="false">
      <c r="AH122" s="21" t="n">
        <f aca="false">IF($AG$4=0,0,IF($AG$6=0,0,IF(INDEX($A122:$AD122,$AG$4)="",0,IF(INDEX($A122:$AD122,$AG$6)&lt;&gt;"NON-COMPLIED",0,IF(COUNTIFS(INDEX($A$3:$AD$122,0,$AG$4),INDEX($A122:$AD122,$AG$4),INDEX($A$3:$AD$122,0,$AG$6),"NON-COMPLIED")=1,1,0)))))</f>
        <v>0</v>
      </c>
    </row>
    <row r="123" customFormat="false" ht="15" hidden="false" customHeight="false" outlineLevel="0" collapsed="false">
      <c r="AH123" s="21" t="n">
        <f aca="false">IF($AG$4=0,0,IF($AG$6=0,0,IF(INDEX($A123:$AD123,$AG$4)="",0,IF(INDEX($A123:$AD123,$AG$6)&lt;&gt;"NON-COMPLIED",0,IF(COUNTIFS(INDEX($A$3:$AD$123,0,$AG$4),INDEX($A123:$AD123,$AG$4),INDEX($A$3:$AD$123,0,$AG$6),"NON-COMPLIED")=1,1,0)))))</f>
        <v>0</v>
      </c>
    </row>
    <row r="124" customFormat="false" ht="15" hidden="false" customHeight="false" outlineLevel="0" collapsed="false">
      <c r="AH124" s="21" t="n">
        <f aca="false">IF($AG$4=0,0,IF($AG$6=0,0,IF(INDEX($A124:$AD124,$AG$4)="",0,IF(INDEX($A124:$AD124,$AG$6)&lt;&gt;"NON-COMPLIED",0,IF(COUNTIFS(INDEX($A$3:$AD$124,0,$AG$4),INDEX($A124:$AD124,$AG$4),INDEX($A$3:$AD$124,0,$AG$6),"NON-COMPLIED")=1,1,0)))))</f>
        <v>0</v>
      </c>
    </row>
    <row r="125" customFormat="false" ht="15" hidden="false" customHeight="false" outlineLevel="0" collapsed="false">
      <c r="AH125" s="21" t="n">
        <f aca="false">IF($AG$4=0,0,IF($AG$6=0,0,IF(INDEX($A125:$AD125,$AG$4)="",0,IF(INDEX($A125:$AD125,$AG$6)&lt;&gt;"NON-COMPLIED",0,IF(COUNTIFS(INDEX($A$3:$AD$125,0,$AG$4),INDEX($A125:$AD125,$AG$4),INDEX($A$3:$AD$125,0,$AG$6),"NON-COMPLIED")=1,1,0)))))</f>
        <v>0</v>
      </c>
    </row>
    <row r="126" customFormat="false" ht="15" hidden="false" customHeight="false" outlineLevel="0" collapsed="false">
      <c r="AH126" s="21" t="n">
        <f aca="false">IF($AG$4=0,0,IF($AG$6=0,0,IF(INDEX($A126:$AD126,$AG$4)="",0,IF(INDEX($A126:$AD126,$AG$6)&lt;&gt;"NON-COMPLIED",0,IF(COUNTIFS(INDEX($A$3:$AD$126,0,$AG$4),INDEX($A126:$AD126,$AG$4),INDEX($A$3:$AD$126,0,$AG$6),"NON-COMPLIED")=1,1,0)))))</f>
        <v>0</v>
      </c>
    </row>
    <row r="127" customFormat="false" ht="15" hidden="false" customHeight="false" outlineLevel="0" collapsed="false">
      <c r="AH127" s="21" t="n">
        <f aca="false">IF($AG$4=0,0,IF($AG$6=0,0,IF(INDEX($A127:$AD127,$AG$4)="",0,IF(INDEX($A127:$AD127,$AG$6)&lt;&gt;"NON-COMPLIED",0,IF(COUNTIFS(INDEX($A$3:$AD$127,0,$AG$4),INDEX($A127:$AD127,$AG$4),INDEX($A$3:$AD$127,0,$AG$6),"NON-COMPLIED")=1,1,0)))))</f>
        <v>0</v>
      </c>
    </row>
    <row r="128" customFormat="false" ht="15" hidden="false" customHeight="false" outlineLevel="0" collapsed="false">
      <c r="AH128" s="21" t="n">
        <f aca="false">IF($AG$4=0,0,IF($AG$6=0,0,IF(INDEX($A128:$AD128,$AG$4)="",0,IF(INDEX($A128:$AD128,$AG$6)&lt;&gt;"NON-COMPLIED",0,IF(COUNTIFS(INDEX($A$3:$AD$128,0,$AG$4),INDEX($A128:$AD128,$AG$4),INDEX($A$3:$AD$128,0,$AG$6),"NON-COMPLIED")=1,1,0)))))</f>
        <v>0</v>
      </c>
    </row>
    <row r="129" customFormat="false" ht="15" hidden="false" customHeight="false" outlineLevel="0" collapsed="false">
      <c r="AH129" s="21" t="n">
        <f aca="false">IF($AG$4=0,0,IF($AG$6=0,0,IF(INDEX($A129:$AD129,$AG$4)="",0,IF(INDEX($A129:$AD129,$AG$6)&lt;&gt;"NON-COMPLIED",0,IF(COUNTIFS(INDEX($A$3:$AD$129,0,$AG$4),INDEX($A129:$AD129,$AG$4),INDEX($A$3:$AD$129,0,$AG$6),"NON-COMPLIED")=1,1,0)))))</f>
        <v>0</v>
      </c>
    </row>
    <row r="130" customFormat="false" ht="15" hidden="false" customHeight="false" outlineLevel="0" collapsed="false">
      <c r="AH130" s="21" t="n">
        <f aca="false">IF($AG$4=0,0,IF($AG$6=0,0,IF(INDEX($A130:$AD130,$AG$4)="",0,IF(INDEX($A130:$AD130,$AG$6)&lt;&gt;"NON-COMPLIED",0,IF(COUNTIFS(INDEX($A$3:$AD$130,0,$AG$4),INDEX($A130:$AD130,$AG$4),INDEX($A$3:$AD$130,0,$AG$6),"NON-COMPLIED")=1,1,0)))))</f>
        <v>0</v>
      </c>
    </row>
    <row r="131" customFormat="false" ht="15" hidden="false" customHeight="false" outlineLevel="0" collapsed="false">
      <c r="AH131" s="21" t="n">
        <f aca="false">IF($AG$4=0,0,IF($AG$6=0,0,IF(INDEX($A131:$AD131,$AG$4)="",0,IF(INDEX($A131:$AD131,$AG$6)&lt;&gt;"NON-COMPLIED",0,IF(COUNTIFS(INDEX($A$3:$AD$131,0,$AG$4),INDEX($A131:$AD131,$AG$4),INDEX($A$3:$AD$131,0,$AG$6),"NON-COMPLIED")=1,1,0)))))</f>
        <v>0</v>
      </c>
    </row>
    <row r="132" customFormat="false" ht="15" hidden="false" customHeight="false" outlineLevel="0" collapsed="false">
      <c r="AH132" s="21" t="n">
        <f aca="false">IF($AG$4=0,0,IF($AG$6=0,0,IF(INDEX($A132:$AD132,$AG$4)="",0,IF(INDEX($A132:$AD132,$AG$6)&lt;&gt;"NON-COMPLIED",0,IF(COUNTIFS(INDEX($A$3:$AD$132,0,$AG$4),INDEX($A132:$AD132,$AG$4),INDEX($A$3:$AD$132,0,$AG$6),"NON-COMPLIED")=1,1,0)))))</f>
        <v>0</v>
      </c>
    </row>
    <row r="133" customFormat="false" ht="15" hidden="false" customHeight="false" outlineLevel="0" collapsed="false">
      <c r="AH133" s="21" t="n">
        <f aca="false">IF($AG$4=0,0,IF($AG$6=0,0,IF(INDEX($A133:$AD133,$AG$4)="",0,IF(INDEX($A133:$AD133,$AG$6)&lt;&gt;"NON-COMPLIED",0,IF(COUNTIFS(INDEX($A$3:$AD$133,0,$AG$4),INDEX($A133:$AD133,$AG$4),INDEX($A$3:$AD$133,0,$AG$6),"NON-COMPLIED")=1,1,0)))))</f>
        <v>0</v>
      </c>
    </row>
    <row r="134" customFormat="false" ht="15" hidden="false" customHeight="false" outlineLevel="0" collapsed="false">
      <c r="AH134" s="21" t="n">
        <f aca="false">IF($AG$4=0,0,IF($AG$6=0,0,IF(INDEX($A134:$AD134,$AG$4)="",0,IF(INDEX($A134:$AD134,$AG$6)&lt;&gt;"NON-COMPLIED",0,IF(COUNTIFS(INDEX($A$3:$AD$134,0,$AG$4),INDEX($A134:$AD134,$AG$4),INDEX($A$3:$AD$134,0,$AG$6),"NON-COMPLIED")=1,1,0)))))</f>
        <v>0</v>
      </c>
    </row>
    <row r="135" customFormat="false" ht="15" hidden="false" customHeight="false" outlineLevel="0" collapsed="false">
      <c r="AH135" s="21" t="n">
        <f aca="false">IF($AG$4=0,0,IF($AG$6=0,0,IF(INDEX($A135:$AD135,$AG$4)="",0,IF(INDEX($A135:$AD135,$AG$6)&lt;&gt;"NON-COMPLIED",0,IF(COUNTIFS(INDEX($A$3:$AD$135,0,$AG$4),INDEX($A135:$AD135,$AG$4),INDEX($A$3:$AD$135,0,$AG$6),"NON-COMPLIED")=1,1,0)))))</f>
        <v>0</v>
      </c>
    </row>
    <row r="136" customFormat="false" ht="15" hidden="false" customHeight="false" outlineLevel="0" collapsed="false">
      <c r="AH136" s="21" t="n">
        <f aca="false">IF($AG$4=0,0,IF($AG$6=0,0,IF(INDEX($A136:$AD136,$AG$4)="",0,IF(INDEX($A136:$AD136,$AG$6)&lt;&gt;"NON-COMPLIED",0,IF(COUNTIFS(INDEX($A$3:$AD$136,0,$AG$4),INDEX($A136:$AD136,$AG$4),INDEX($A$3:$AD$136,0,$AG$6),"NON-COMPLIED")=1,1,0)))))</f>
        <v>0</v>
      </c>
    </row>
    <row r="137" customFormat="false" ht="15" hidden="false" customHeight="false" outlineLevel="0" collapsed="false">
      <c r="AH137" s="21" t="n">
        <f aca="false">IF($AG$4=0,0,IF($AG$6=0,0,IF(INDEX($A137:$AD137,$AG$4)="",0,IF(INDEX($A137:$AD137,$AG$6)&lt;&gt;"NON-COMPLIED",0,IF(COUNTIFS(INDEX($A$3:$AD$137,0,$AG$4),INDEX($A137:$AD137,$AG$4),INDEX($A$3:$AD$137,0,$AG$6),"NON-COMPLIED")=1,1,0)))))</f>
        <v>0</v>
      </c>
    </row>
    <row r="138" customFormat="false" ht="15" hidden="false" customHeight="false" outlineLevel="0" collapsed="false">
      <c r="AH138" s="21" t="n">
        <f aca="false">IF($AG$4=0,0,IF($AG$6=0,0,IF(INDEX($A138:$AD138,$AG$4)="",0,IF(INDEX($A138:$AD138,$AG$6)&lt;&gt;"NON-COMPLIED",0,IF(COUNTIFS(INDEX($A$3:$AD$138,0,$AG$4),INDEX($A138:$AD138,$AG$4),INDEX($A$3:$AD$138,0,$AG$6),"NON-COMPLIED")=1,1,0)))))</f>
        <v>0</v>
      </c>
    </row>
    <row r="139" customFormat="false" ht="15" hidden="false" customHeight="false" outlineLevel="0" collapsed="false">
      <c r="AH139" s="21" t="n">
        <f aca="false">IF($AG$4=0,0,IF($AG$6=0,0,IF(INDEX($A139:$AD139,$AG$4)="",0,IF(INDEX($A139:$AD139,$AG$6)&lt;&gt;"NON-COMPLIED",0,IF(COUNTIFS(INDEX($A$3:$AD$139,0,$AG$4),INDEX($A139:$AD139,$AG$4),INDEX($A$3:$AD$139,0,$AG$6),"NON-COMPLIED")=1,1,0)))))</f>
        <v>0</v>
      </c>
    </row>
    <row r="140" customFormat="false" ht="15" hidden="false" customHeight="false" outlineLevel="0" collapsed="false">
      <c r="AH140" s="21" t="n">
        <f aca="false">IF($AG$4=0,0,IF($AG$6=0,0,IF(INDEX($A140:$AD140,$AG$4)="",0,IF(INDEX($A140:$AD140,$AG$6)&lt;&gt;"NON-COMPLIED",0,IF(COUNTIFS(INDEX($A$3:$AD$140,0,$AG$4),INDEX($A140:$AD140,$AG$4),INDEX($A$3:$AD$140,0,$AG$6),"NON-COMPLIED")=1,1,0)))))</f>
        <v>0</v>
      </c>
    </row>
    <row r="141" customFormat="false" ht="15" hidden="false" customHeight="false" outlineLevel="0" collapsed="false">
      <c r="AH141" s="21" t="n">
        <f aca="false">IF($AG$4=0,0,IF($AG$6=0,0,IF(INDEX($A141:$AD141,$AG$4)="",0,IF(INDEX($A141:$AD141,$AG$6)&lt;&gt;"NON-COMPLIED",0,IF(COUNTIFS(INDEX($A$3:$AD$141,0,$AG$4),INDEX($A141:$AD141,$AG$4),INDEX($A$3:$AD$141,0,$AG$6),"NON-COMPLIED")=1,1,0)))))</f>
        <v>0</v>
      </c>
    </row>
    <row r="142" customFormat="false" ht="15" hidden="false" customHeight="false" outlineLevel="0" collapsed="false">
      <c r="AH142" s="21" t="n">
        <f aca="false">IF($AG$4=0,0,IF($AG$6=0,0,IF(INDEX($A142:$AD142,$AG$4)="",0,IF(INDEX($A142:$AD142,$AG$6)&lt;&gt;"NON-COMPLIED",0,IF(COUNTIFS(INDEX($A$3:$AD$142,0,$AG$4),INDEX($A142:$AD142,$AG$4),INDEX($A$3:$AD$142,0,$AG$6),"NON-COMPLIED")=1,1,0)))))</f>
        <v>0</v>
      </c>
    </row>
    <row r="143" customFormat="false" ht="15" hidden="false" customHeight="false" outlineLevel="0" collapsed="false">
      <c r="AH143" s="21" t="n">
        <f aca="false">IF($AG$4=0,0,IF($AG$6=0,0,IF(INDEX($A143:$AD143,$AG$4)="",0,IF(INDEX($A143:$AD143,$AG$6)&lt;&gt;"NON-COMPLIED",0,IF(COUNTIFS(INDEX($A$3:$AD$143,0,$AG$4),INDEX($A143:$AD143,$AG$4),INDEX($A$3:$AD$143,0,$AG$6),"NON-COMPLIED")=1,1,0)))))</f>
        <v>0</v>
      </c>
    </row>
    <row r="144" customFormat="false" ht="15" hidden="false" customHeight="false" outlineLevel="0" collapsed="false">
      <c r="AH144" s="21" t="n">
        <f aca="false">IF($AG$4=0,0,IF($AG$6=0,0,IF(INDEX($A144:$AD144,$AG$4)="",0,IF(INDEX($A144:$AD144,$AG$6)&lt;&gt;"NON-COMPLIED",0,IF(COUNTIFS(INDEX($A$3:$AD$144,0,$AG$4),INDEX($A144:$AD144,$AG$4),INDEX($A$3:$AD$144,0,$AG$6),"NON-COMPLIED")=1,1,0)))))</f>
        <v>0</v>
      </c>
    </row>
    <row r="145" customFormat="false" ht="15" hidden="false" customHeight="false" outlineLevel="0" collapsed="false">
      <c r="AH145" s="21" t="n">
        <f aca="false">IF($AG$4=0,0,IF($AG$6=0,0,IF(INDEX($A145:$AD145,$AG$4)="",0,IF(INDEX($A145:$AD145,$AG$6)&lt;&gt;"NON-COMPLIED",0,IF(COUNTIFS(INDEX($A$3:$AD$145,0,$AG$4),INDEX($A145:$AD145,$AG$4),INDEX($A$3:$AD$145,0,$AG$6),"NON-COMPLIED")=1,1,0)))))</f>
        <v>0</v>
      </c>
    </row>
    <row r="146" customFormat="false" ht="15" hidden="false" customHeight="false" outlineLevel="0" collapsed="false">
      <c r="AH146" s="21" t="n">
        <f aca="false">IF($AG$4=0,0,IF($AG$6=0,0,IF(INDEX($A146:$AD146,$AG$4)="",0,IF(INDEX($A146:$AD146,$AG$6)&lt;&gt;"NON-COMPLIED",0,IF(COUNTIFS(INDEX($A$3:$AD$146,0,$AG$4),INDEX($A146:$AD146,$AG$4),INDEX($A$3:$AD$146,0,$AG$6),"NON-COMPLIED")=1,1,0)))))</f>
        <v>0</v>
      </c>
    </row>
    <row r="147" customFormat="false" ht="15" hidden="false" customHeight="false" outlineLevel="0" collapsed="false">
      <c r="AH147" s="21" t="n">
        <f aca="false">IF($AG$4=0,0,IF($AG$6=0,0,IF(INDEX($A147:$AD147,$AG$4)="",0,IF(INDEX($A147:$AD147,$AG$6)&lt;&gt;"NON-COMPLIED",0,IF(COUNTIFS(INDEX($A$3:$AD$147,0,$AG$4),INDEX($A147:$AD147,$AG$4),INDEX($A$3:$AD$147,0,$AG$6),"NON-COMPLIED")=1,1,0)))))</f>
        <v>0</v>
      </c>
    </row>
    <row r="148" customFormat="false" ht="15" hidden="false" customHeight="false" outlineLevel="0" collapsed="false">
      <c r="AH148" s="21" t="n">
        <f aca="false">IF($AG$4=0,0,IF($AG$6=0,0,IF(INDEX($A148:$AD148,$AG$4)="",0,IF(INDEX($A148:$AD148,$AG$6)&lt;&gt;"NON-COMPLIED",0,IF(COUNTIFS(INDEX($A$3:$AD$148,0,$AG$4),INDEX($A148:$AD148,$AG$4),INDEX($A$3:$AD$148,0,$AG$6),"NON-COMPLIED")=1,1,0)))))</f>
        <v>0</v>
      </c>
    </row>
    <row r="149" customFormat="false" ht="15" hidden="false" customHeight="false" outlineLevel="0" collapsed="false">
      <c r="AH149" s="21" t="n">
        <f aca="false">IF($AG$4=0,0,IF($AG$6=0,0,IF(INDEX($A149:$AD149,$AG$4)="",0,IF(INDEX($A149:$AD149,$AG$6)&lt;&gt;"NON-COMPLIED",0,IF(COUNTIFS(INDEX($A$3:$AD$149,0,$AG$4),INDEX($A149:$AD149,$AG$4),INDEX($A$3:$AD$149,0,$AG$6),"NON-COMPLIED")=1,1,0)))))</f>
        <v>0</v>
      </c>
    </row>
    <row r="150" customFormat="false" ht="15" hidden="false" customHeight="false" outlineLevel="0" collapsed="false">
      <c r="AH150" s="21" t="n">
        <f aca="false">IF($AG$4=0,0,IF($AG$6=0,0,IF(INDEX($A150:$AD150,$AG$4)="",0,IF(INDEX($A150:$AD150,$AG$6)&lt;&gt;"NON-COMPLIED",0,IF(COUNTIFS(INDEX($A$3:$AD$150,0,$AG$4),INDEX($A150:$AD150,$AG$4),INDEX($A$3:$AD$150,0,$AG$6),"NON-COMPLIED")=1,1,0)))))</f>
        <v>0</v>
      </c>
    </row>
    <row r="151" customFormat="false" ht="15" hidden="false" customHeight="false" outlineLevel="0" collapsed="false">
      <c r="AH151" s="21" t="n">
        <f aca="false">IF($AG$4=0,0,IF($AG$6=0,0,IF(INDEX($A151:$AD151,$AG$4)="",0,IF(INDEX($A151:$AD151,$AG$6)&lt;&gt;"NON-COMPLIED",0,IF(COUNTIFS(INDEX($A$3:$AD$151,0,$AG$4),INDEX($A151:$AD151,$AG$4),INDEX($A$3:$AD$151,0,$AG$6),"NON-COMPLIED")=1,1,0)))))</f>
        <v>0</v>
      </c>
    </row>
    <row r="152" customFormat="false" ht="15" hidden="false" customHeight="false" outlineLevel="0" collapsed="false">
      <c r="AH152" s="21" t="n">
        <f aca="false">IF($AG$4=0,0,IF($AG$6=0,0,IF(INDEX($A152:$AD152,$AG$4)="",0,IF(INDEX($A152:$AD152,$AG$6)&lt;&gt;"NON-COMPLIED",0,IF(COUNTIFS(INDEX($A$3:$AD$152,0,$AG$4),INDEX($A152:$AD152,$AG$4),INDEX($A$3:$AD$152,0,$AG$6),"NON-COMPLIED")=1,1,0)))))</f>
        <v>0</v>
      </c>
    </row>
    <row r="153" customFormat="false" ht="15" hidden="false" customHeight="false" outlineLevel="0" collapsed="false">
      <c r="AH153" s="21" t="n">
        <f aca="false">IF($AG$4=0,0,IF($AG$6=0,0,IF(INDEX($A153:$AD153,$AG$4)="",0,IF(INDEX($A153:$AD153,$AG$6)&lt;&gt;"NON-COMPLIED",0,IF(COUNTIFS(INDEX($A$3:$AD$153,0,$AG$4),INDEX($A153:$AD153,$AG$4),INDEX($A$3:$AD$153,0,$AG$6),"NON-COMPLIED")=1,1,0)))))</f>
        <v>0</v>
      </c>
    </row>
    <row r="154" customFormat="false" ht="15" hidden="false" customHeight="false" outlineLevel="0" collapsed="false">
      <c r="AH154" s="21" t="n">
        <f aca="false">IF($AG$4=0,0,IF($AG$6=0,0,IF(INDEX($A154:$AD154,$AG$4)="",0,IF(INDEX($A154:$AD154,$AG$6)&lt;&gt;"NON-COMPLIED",0,IF(COUNTIFS(INDEX($A$3:$AD$154,0,$AG$4),INDEX($A154:$AD154,$AG$4),INDEX($A$3:$AD$154,0,$AG$6),"NON-COMPLIED")=1,1,0)))))</f>
        <v>0</v>
      </c>
    </row>
    <row r="155" customFormat="false" ht="15" hidden="false" customHeight="false" outlineLevel="0" collapsed="false">
      <c r="AH155" s="21" t="n">
        <f aca="false">IF($AG$4=0,0,IF($AG$6=0,0,IF(INDEX($A155:$AD155,$AG$4)="",0,IF(INDEX($A155:$AD155,$AG$6)&lt;&gt;"NON-COMPLIED",0,IF(COUNTIFS(INDEX($A$3:$AD$155,0,$AG$4),INDEX($A155:$AD155,$AG$4),INDEX($A$3:$AD$155,0,$AG$6),"NON-COMPLIED")=1,1,0)))))</f>
        <v>0</v>
      </c>
    </row>
    <row r="156" customFormat="false" ht="15" hidden="false" customHeight="false" outlineLevel="0" collapsed="false">
      <c r="AH156" s="21" t="n">
        <f aca="false">IF($AG$4=0,0,IF($AG$6=0,0,IF(INDEX($A156:$AD156,$AG$4)="",0,IF(INDEX($A156:$AD156,$AG$6)&lt;&gt;"NON-COMPLIED",0,IF(COUNTIFS(INDEX($A$3:$AD$156,0,$AG$4),INDEX($A156:$AD156,$AG$4),INDEX($A$3:$AD$156,0,$AG$6),"NON-COMPLIED")=1,1,0)))))</f>
        <v>0</v>
      </c>
    </row>
    <row r="157" customFormat="false" ht="15" hidden="false" customHeight="false" outlineLevel="0" collapsed="false">
      <c r="AH157" s="21" t="n">
        <f aca="false">IF($AG$4=0,0,IF($AG$6=0,0,IF(INDEX($A157:$AD157,$AG$4)="",0,IF(INDEX($A157:$AD157,$AG$6)&lt;&gt;"NON-COMPLIED",0,IF(COUNTIFS(INDEX($A$3:$AD$157,0,$AG$4),INDEX($A157:$AD157,$AG$4),INDEX($A$3:$AD$157,0,$AG$6),"NON-COMPLIED")=1,1,0)))))</f>
        <v>0</v>
      </c>
    </row>
    <row r="158" customFormat="false" ht="15" hidden="false" customHeight="false" outlineLevel="0" collapsed="false">
      <c r="AH158" s="21" t="n">
        <f aca="false">IF($AG$4=0,0,IF($AG$6=0,0,IF(INDEX($A158:$AD158,$AG$4)="",0,IF(INDEX($A158:$AD158,$AG$6)&lt;&gt;"NON-COMPLIED",0,IF(COUNTIFS(INDEX($A$3:$AD$158,0,$AG$4),INDEX($A158:$AD158,$AG$4),INDEX($A$3:$AD$158,0,$AG$6),"NON-COMPLIED")=1,1,0)))))</f>
        <v>0</v>
      </c>
    </row>
    <row r="159" customFormat="false" ht="15" hidden="false" customHeight="false" outlineLevel="0" collapsed="false">
      <c r="AH159" s="21" t="n">
        <f aca="false">IF($AG$4=0,0,IF($AG$6=0,0,IF(INDEX($A159:$AD159,$AG$4)="",0,IF(INDEX($A159:$AD159,$AG$6)&lt;&gt;"NON-COMPLIED",0,IF(COUNTIFS(INDEX($A$3:$AD$159,0,$AG$4),INDEX($A159:$AD159,$AG$4),INDEX($A$3:$AD$159,0,$AG$6),"NON-COMPLIED")=1,1,0)))))</f>
        <v>0</v>
      </c>
    </row>
    <row r="160" customFormat="false" ht="15" hidden="false" customHeight="false" outlineLevel="0" collapsed="false">
      <c r="AH160" s="21" t="n">
        <f aca="false">IF($AG$4=0,0,IF($AG$6=0,0,IF(INDEX($A160:$AD160,$AG$4)="",0,IF(INDEX($A160:$AD160,$AG$6)&lt;&gt;"NON-COMPLIED",0,IF(COUNTIFS(INDEX($A$3:$AD$160,0,$AG$4),INDEX($A160:$AD160,$AG$4),INDEX($A$3:$AD$160,0,$AG$6),"NON-COMPLIED")=1,1,0)))))</f>
        <v>0</v>
      </c>
    </row>
    <row r="161" customFormat="false" ht="15" hidden="false" customHeight="false" outlineLevel="0" collapsed="false">
      <c r="AH161" s="21" t="n">
        <f aca="false">IF($AG$4=0,0,IF($AG$6=0,0,IF(INDEX($A161:$AD161,$AG$4)="",0,IF(INDEX($A161:$AD161,$AG$6)&lt;&gt;"NON-COMPLIED",0,IF(COUNTIFS(INDEX($A$3:$AD$161,0,$AG$4),INDEX($A161:$AD161,$AG$4),INDEX($A$3:$AD$161,0,$AG$6),"NON-COMPLIED")=1,1,0)))))</f>
        <v>0</v>
      </c>
    </row>
    <row r="162" customFormat="false" ht="15" hidden="false" customHeight="false" outlineLevel="0" collapsed="false">
      <c r="AH162" s="21" t="n">
        <f aca="false">IF($AG$4=0,0,IF($AG$6=0,0,IF(INDEX($A162:$AD162,$AG$4)="",0,IF(INDEX($A162:$AD162,$AG$6)&lt;&gt;"NON-COMPLIED",0,IF(COUNTIFS(INDEX($A$3:$AD$162,0,$AG$4),INDEX($A162:$AD162,$AG$4),INDEX($A$3:$AD$162,0,$AG$6),"NON-COMPLIED")=1,1,0)))))</f>
        <v>0</v>
      </c>
    </row>
    <row r="163" customFormat="false" ht="15" hidden="false" customHeight="false" outlineLevel="0" collapsed="false">
      <c r="AH163" s="21" t="n">
        <f aca="false">IF($AG$4=0,0,IF($AG$6=0,0,IF(INDEX($A163:$AD163,$AG$4)="",0,IF(INDEX($A163:$AD163,$AG$6)&lt;&gt;"NON-COMPLIED",0,IF(COUNTIFS(INDEX($A$3:$AD$163,0,$AG$4),INDEX($A163:$AD163,$AG$4),INDEX($A$3:$AD$163,0,$AG$6),"NON-COMPLIED")=1,1,0)))))</f>
        <v>0</v>
      </c>
    </row>
    <row r="164" customFormat="false" ht="15" hidden="false" customHeight="false" outlineLevel="0" collapsed="false">
      <c r="AH164" s="21" t="n">
        <f aca="false">IF($AG$4=0,0,IF($AG$6=0,0,IF(INDEX($A164:$AD164,$AG$4)="",0,IF(INDEX($A164:$AD164,$AG$6)&lt;&gt;"NON-COMPLIED",0,IF(COUNTIFS(INDEX($A$3:$AD$164,0,$AG$4),INDEX($A164:$AD164,$AG$4),INDEX($A$3:$AD$164,0,$AG$6),"NON-COMPLIED")=1,1,0)))))</f>
        <v>0</v>
      </c>
    </row>
    <row r="165" customFormat="false" ht="15" hidden="false" customHeight="false" outlineLevel="0" collapsed="false">
      <c r="AH165" s="21" t="n">
        <f aca="false">IF($AG$4=0,0,IF($AG$6=0,0,IF(INDEX($A165:$AD165,$AG$4)="",0,IF(INDEX($A165:$AD165,$AG$6)&lt;&gt;"NON-COMPLIED",0,IF(COUNTIFS(INDEX($A$3:$AD$165,0,$AG$4),INDEX($A165:$AD165,$AG$4),INDEX($A$3:$AD$165,0,$AG$6),"NON-COMPLIED")=1,1,0)))))</f>
        <v>0</v>
      </c>
    </row>
    <row r="166" customFormat="false" ht="15" hidden="false" customHeight="false" outlineLevel="0" collapsed="false">
      <c r="AH166" s="21" t="n">
        <f aca="false">IF($AG$4=0,0,IF($AG$6=0,0,IF(INDEX($A166:$AD166,$AG$4)="",0,IF(INDEX($A166:$AD166,$AG$6)&lt;&gt;"NON-COMPLIED",0,IF(COUNTIFS(INDEX($A$3:$AD$166,0,$AG$4),INDEX($A166:$AD166,$AG$4),INDEX($A$3:$AD$166,0,$AG$6),"NON-COMPLIED")=1,1,0)))))</f>
        <v>0</v>
      </c>
    </row>
    <row r="167" customFormat="false" ht="15" hidden="false" customHeight="false" outlineLevel="0" collapsed="false">
      <c r="AH167" s="21" t="n">
        <f aca="false">IF($AG$4=0,0,IF($AG$6=0,0,IF(INDEX($A167:$AD167,$AG$4)="",0,IF(INDEX($A167:$AD167,$AG$6)&lt;&gt;"NON-COMPLIED",0,IF(COUNTIFS(INDEX($A$3:$AD$167,0,$AG$4),INDEX($A167:$AD167,$AG$4),INDEX($A$3:$AD$167,0,$AG$6),"NON-COMPLIED")=1,1,0)))))</f>
        <v>0</v>
      </c>
    </row>
    <row r="168" customFormat="false" ht="15" hidden="false" customHeight="false" outlineLevel="0" collapsed="false">
      <c r="AH168" s="21" t="n">
        <f aca="false">IF($AG$4=0,0,IF($AG$6=0,0,IF(INDEX($A168:$AD168,$AG$4)="",0,IF(INDEX($A168:$AD168,$AG$6)&lt;&gt;"NON-COMPLIED",0,IF(COUNTIFS(INDEX($A$3:$AD$168,0,$AG$4),INDEX($A168:$AD168,$AG$4),INDEX($A$3:$AD$168,0,$AG$6),"NON-COMPLIED")=1,1,0)))))</f>
        <v>0</v>
      </c>
    </row>
    <row r="169" customFormat="false" ht="15" hidden="false" customHeight="false" outlineLevel="0" collapsed="false">
      <c r="AH169" s="21" t="n">
        <f aca="false">IF($AG$4=0,0,IF($AG$6=0,0,IF(INDEX($A169:$AD169,$AG$4)="",0,IF(INDEX($A169:$AD169,$AG$6)&lt;&gt;"NON-COMPLIED",0,IF(COUNTIFS(INDEX($A$3:$AD$169,0,$AG$4),INDEX($A169:$AD169,$AG$4),INDEX($A$3:$AD$169,0,$AG$6),"NON-COMPLIED")=1,1,0)))))</f>
        <v>0</v>
      </c>
    </row>
    <row r="170" customFormat="false" ht="15" hidden="false" customHeight="false" outlineLevel="0" collapsed="false">
      <c r="AH170" s="21" t="n">
        <f aca="false">IF($AG$4=0,0,IF($AG$6=0,0,IF(INDEX($A170:$AD170,$AG$4)="",0,IF(INDEX($A170:$AD170,$AG$6)&lt;&gt;"NON-COMPLIED",0,IF(COUNTIFS(INDEX($A$3:$AD$170,0,$AG$4),INDEX($A170:$AD170,$AG$4),INDEX($A$3:$AD$170,0,$AG$6),"NON-COMPLIED")=1,1,0)))))</f>
        <v>0</v>
      </c>
    </row>
    <row r="171" customFormat="false" ht="15" hidden="false" customHeight="false" outlineLevel="0" collapsed="false">
      <c r="AH171" s="21" t="n">
        <f aca="false">IF($AG$4=0,0,IF($AG$6=0,0,IF(INDEX($A171:$AD171,$AG$4)="",0,IF(INDEX($A171:$AD171,$AG$6)&lt;&gt;"NON-COMPLIED",0,IF(COUNTIFS(INDEX($A$3:$AD$171,0,$AG$4),INDEX($A171:$AD171,$AG$4),INDEX($A$3:$AD$171,0,$AG$6),"NON-COMPLIED")=1,1,0)))))</f>
        <v>0</v>
      </c>
    </row>
    <row r="172" customFormat="false" ht="15" hidden="false" customHeight="false" outlineLevel="0" collapsed="false">
      <c r="AH172" s="21" t="n">
        <f aca="false">IF($AG$4=0,0,IF($AG$6=0,0,IF(INDEX($A172:$AD172,$AG$4)="",0,IF(INDEX($A172:$AD172,$AG$6)&lt;&gt;"NON-COMPLIED",0,IF(COUNTIFS(INDEX($A$3:$AD$172,0,$AG$4),INDEX($A172:$AD172,$AG$4),INDEX($A$3:$AD$172,0,$AG$6),"NON-COMPLIED")=1,1,0)))))</f>
        <v>0</v>
      </c>
    </row>
    <row r="173" customFormat="false" ht="15" hidden="false" customHeight="false" outlineLevel="0" collapsed="false">
      <c r="AH173" s="21" t="n">
        <f aca="false">IF($AG$4=0,0,IF($AG$6=0,0,IF(INDEX($A173:$AD173,$AG$4)="",0,IF(INDEX($A173:$AD173,$AG$6)&lt;&gt;"NON-COMPLIED",0,IF(COUNTIFS(INDEX($A$3:$AD$173,0,$AG$4),INDEX($A173:$AD173,$AG$4),INDEX($A$3:$AD$173,0,$AG$6),"NON-COMPLIED")=1,1,0)))))</f>
        <v>0</v>
      </c>
    </row>
    <row r="174" customFormat="false" ht="15" hidden="false" customHeight="false" outlineLevel="0" collapsed="false">
      <c r="AH174" s="21" t="n">
        <f aca="false">IF($AG$4=0,0,IF($AG$6=0,0,IF(INDEX($A174:$AD174,$AG$4)="",0,IF(INDEX($A174:$AD174,$AG$6)&lt;&gt;"NON-COMPLIED",0,IF(COUNTIFS(INDEX($A$3:$AD$174,0,$AG$4),INDEX($A174:$AD174,$AG$4),INDEX($A$3:$AD$174,0,$AG$6),"NON-COMPLIED")=1,1,0)))))</f>
        <v>0</v>
      </c>
    </row>
    <row r="175" customFormat="false" ht="15" hidden="false" customHeight="false" outlineLevel="0" collapsed="false">
      <c r="AH175" s="21" t="n">
        <f aca="false">IF($AG$4=0,0,IF($AG$6=0,0,IF(INDEX($A175:$AD175,$AG$4)="",0,IF(INDEX($A175:$AD175,$AG$6)&lt;&gt;"NON-COMPLIED",0,IF(COUNTIFS(INDEX($A$3:$AD$175,0,$AG$4),INDEX($A175:$AD175,$AG$4),INDEX($A$3:$AD$175,0,$AG$6),"NON-COMPLIED")=1,1,0)))))</f>
        <v>0</v>
      </c>
    </row>
    <row r="176" customFormat="false" ht="15" hidden="false" customHeight="false" outlineLevel="0" collapsed="false">
      <c r="AH176" s="21" t="n">
        <f aca="false">IF($AG$4=0,0,IF($AG$6=0,0,IF(INDEX($A176:$AD176,$AG$4)="",0,IF(INDEX($A176:$AD176,$AG$6)&lt;&gt;"NON-COMPLIED",0,IF(COUNTIFS(INDEX($A$3:$AD$176,0,$AG$4),INDEX($A176:$AD176,$AG$4),INDEX($A$3:$AD$176,0,$AG$6),"NON-COMPLIED")=1,1,0)))))</f>
        <v>0</v>
      </c>
    </row>
    <row r="177" customFormat="false" ht="15" hidden="false" customHeight="false" outlineLevel="0" collapsed="false">
      <c r="AH177" s="21" t="n">
        <f aca="false">IF($AG$4=0,0,IF($AG$6=0,0,IF(INDEX($A177:$AD177,$AG$4)="",0,IF(INDEX($A177:$AD177,$AG$6)&lt;&gt;"NON-COMPLIED",0,IF(COUNTIFS(INDEX($A$3:$AD$177,0,$AG$4),INDEX($A177:$AD177,$AG$4),INDEX($A$3:$AD$177,0,$AG$6),"NON-COMPLIED")=1,1,0)))))</f>
        <v>0</v>
      </c>
    </row>
    <row r="178" customFormat="false" ht="15" hidden="false" customHeight="false" outlineLevel="0" collapsed="false">
      <c r="AH178" s="21" t="n">
        <f aca="false">IF($AG$4=0,0,IF($AG$6=0,0,IF(INDEX($A178:$AD178,$AG$4)="",0,IF(INDEX($A178:$AD178,$AG$6)&lt;&gt;"NON-COMPLIED",0,IF(COUNTIFS(INDEX($A$3:$AD$178,0,$AG$4),INDEX($A178:$AD178,$AG$4),INDEX($A$3:$AD$178,0,$AG$6),"NON-COMPLIED")=1,1,0)))))</f>
        <v>0</v>
      </c>
    </row>
    <row r="179" customFormat="false" ht="15" hidden="false" customHeight="false" outlineLevel="0" collapsed="false">
      <c r="AH179" s="21" t="n">
        <f aca="false">IF($AG$4=0,0,IF($AG$6=0,0,IF(INDEX($A179:$AD179,$AG$4)="",0,IF(INDEX($A179:$AD179,$AG$6)&lt;&gt;"NON-COMPLIED",0,IF(COUNTIFS(INDEX($A$3:$AD$179,0,$AG$4),INDEX($A179:$AD179,$AG$4),INDEX($A$3:$AD$179,0,$AG$6),"NON-COMPLIED")=1,1,0)))))</f>
        <v>0</v>
      </c>
    </row>
    <row r="180" customFormat="false" ht="15" hidden="false" customHeight="false" outlineLevel="0" collapsed="false">
      <c r="AH180" s="21" t="n">
        <f aca="false">IF($AG$4=0,0,IF($AG$6=0,0,IF(INDEX($A180:$AD180,$AG$4)="",0,IF(INDEX($A180:$AD180,$AG$6)&lt;&gt;"NON-COMPLIED",0,IF(COUNTIFS(INDEX($A$3:$AD$180,0,$AG$4),INDEX($A180:$AD180,$AG$4),INDEX($A$3:$AD$180,0,$AG$6),"NON-COMPLIED")=1,1,0)))))</f>
        <v>0</v>
      </c>
    </row>
    <row r="181" customFormat="false" ht="15" hidden="false" customHeight="false" outlineLevel="0" collapsed="false">
      <c r="AH181" s="21" t="n">
        <f aca="false">IF($AG$4=0,0,IF($AG$6=0,0,IF(INDEX($A181:$AD181,$AG$4)="",0,IF(INDEX($A181:$AD181,$AG$6)&lt;&gt;"NON-COMPLIED",0,IF(COUNTIFS(INDEX($A$3:$AD$181,0,$AG$4),INDEX($A181:$AD181,$AG$4),INDEX($A$3:$AD$181,0,$AG$6),"NON-COMPLIED")=1,1,0)))))</f>
        <v>0</v>
      </c>
    </row>
    <row r="182" customFormat="false" ht="15" hidden="false" customHeight="false" outlineLevel="0" collapsed="false">
      <c r="AH182" s="21" t="n">
        <f aca="false">IF($AG$4=0,0,IF($AG$6=0,0,IF(INDEX($A182:$AD182,$AG$4)="",0,IF(INDEX($A182:$AD182,$AG$6)&lt;&gt;"NON-COMPLIED",0,IF(COUNTIFS(INDEX($A$3:$AD$182,0,$AG$4),INDEX($A182:$AD182,$AG$4),INDEX($A$3:$AD$182,0,$AG$6),"NON-COMPLIED")=1,1,0)))))</f>
        <v>0</v>
      </c>
    </row>
    <row r="183" customFormat="false" ht="15" hidden="false" customHeight="false" outlineLevel="0" collapsed="false">
      <c r="AH183" s="21" t="n">
        <f aca="false">IF($AG$4=0,0,IF($AG$6=0,0,IF(INDEX($A183:$AD183,$AG$4)="",0,IF(INDEX($A183:$AD183,$AG$6)&lt;&gt;"NON-COMPLIED",0,IF(COUNTIFS(INDEX($A$3:$AD$183,0,$AG$4),INDEX($A183:$AD183,$AG$4),INDEX($A$3:$AD$183,0,$AG$6),"NON-COMPLIED")=1,1,0)))))</f>
        <v>0</v>
      </c>
    </row>
    <row r="184" customFormat="false" ht="15" hidden="false" customHeight="false" outlineLevel="0" collapsed="false">
      <c r="AH184" s="21" t="n">
        <f aca="false">IF($AG$4=0,0,IF($AG$6=0,0,IF(INDEX($A184:$AD184,$AG$4)="",0,IF(INDEX($A184:$AD184,$AG$6)&lt;&gt;"NON-COMPLIED",0,IF(COUNTIFS(INDEX($A$3:$AD$184,0,$AG$4),INDEX($A184:$AD184,$AG$4),INDEX($A$3:$AD$184,0,$AG$6),"NON-COMPLIED")=1,1,0)))))</f>
        <v>0</v>
      </c>
    </row>
    <row r="185" customFormat="false" ht="15" hidden="false" customHeight="false" outlineLevel="0" collapsed="false">
      <c r="AH185" s="21" t="n">
        <f aca="false">IF($AG$4=0,0,IF($AG$6=0,0,IF(INDEX($A185:$AD185,$AG$4)="",0,IF(INDEX($A185:$AD185,$AG$6)&lt;&gt;"NON-COMPLIED",0,IF(COUNTIFS(INDEX($A$3:$AD$185,0,$AG$4),INDEX($A185:$AD185,$AG$4),INDEX($A$3:$AD$185,0,$AG$6),"NON-COMPLIED")=1,1,0)))))</f>
        <v>0</v>
      </c>
    </row>
    <row r="186" customFormat="false" ht="15" hidden="false" customHeight="false" outlineLevel="0" collapsed="false">
      <c r="AH186" s="21" t="n">
        <f aca="false">IF($AG$4=0,0,IF($AG$6=0,0,IF(INDEX($A186:$AD186,$AG$4)="",0,IF(INDEX($A186:$AD186,$AG$6)&lt;&gt;"NON-COMPLIED",0,IF(COUNTIFS(INDEX($A$3:$AD$186,0,$AG$4),INDEX($A186:$AD186,$AG$4),INDEX($A$3:$AD$186,0,$AG$6),"NON-COMPLIED")=1,1,0)))))</f>
        <v>0</v>
      </c>
    </row>
    <row r="187" customFormat="false" ht="15" hidden="false" customHeight="false" outlineLevel="0" collapsed="false">
      <c r="AH187" s="21" t="n">
        <f aca="false">IF($AG$4=0,0,IF($AG$6=0,0,IF(INDEX($A187:$AD187,$AG$4)="",0,IF(INDEX($A187:$AD187,$AG$6)&lt;&gt;"NON-COMPLIED",0,IF(COUNTIFS(INDEX($A$3:$AD$187,0,$AG$4),INDEX($A187:$AD187,$AG$4),INDEX($A$3:$AD$187,0,$AG$6),"NON-COMPLIED")=1,1,0)))))</f>
        <v>0</v>
      </c>
    </row>
    <row r="188" customFormat="false" ht="15" hidden="false" customHeight="false" outlineLevel="0" collapsed="false">
      <c r="AH188" s="21" t="n">
        <f aca="false">IF($AG$4=0,0,IF($AG$6=0,0,IF(INDEX($A188:$AD188,$AG$4)="",0,IF(INDEX($A188:$AD188,$AG$6)&lt;&gt;"NON-COMPLIED",0,IF(COUNTIFS(INDEX($A$3:$AD$188,0,$AG$4),INDEX($A188:$AD188,$AG$4),INDEX($A$3:$AD$188,0,$AG$6),"NON-COMPLIED")=1,1,0)))))</f>
        <v>0</v>
      </c>
    </row>
    <row r="189" customFormat="false" ht="15" hidden="false" customHeight="false" outlineLevel="0" collapsed="false">
      <c r="AH189" s="21" t="n">
        <f aca="false">IF($AG$4=0,0,IF($AG$6=0,0,IF(INDEX($A189:$AD189,$AG$4)="",0,IF(INDEX($A189:$AD189,$AG$6)&lt;&gt;"NON-COMPLIED",0,IF(COUNTIFS(INDEX($A$3:$AD$189,0,$AG$4),INDEX($A189:$AD189,$AG$4),INDEX($A$3:$AD$189,0,$AG$6),"NON-COMPLIED")=1,1,0)))))</f>
        <v>0</v>
      </c>
    </row>
    <row r="190" customFormat="false" ht="15" hidden="false" customHeight="false" outlineLevel="0" collapsed="false">
      <c r="AH190" s="21" t="n">
        <f aca="false">IF($AG$4=0,0,IF($AG$6=0,0,IF(INDEX($A190:$AD190,$AG$4)="",0,IF(INDEX($A190:$AD190,$AG$6)&lt;&gt;"NON-COMPLIED",0,IF(COUNTIFS(INDEX($A$3:$AD$190,0,$AG$4),INDEX($A190:$AD190,$AG$4),INDEX($A$3:$AD$190,0,$AG$6),"NON-COMPLIED")=1,1,0)))))</f>
        <v>0</v>
      </c>
    </row>
    <row r="191" customFormat="false" ht="15" hidden="false" customHeight="false" outlineLevel="0" collapsed="false">
      <c r="AH191" s="21" t="n">
        <f aca="false">IF($AG$4=0,0,IF($AG$6=0,0,IF(INDEX($A191:$AD191,$AG$4)="",0,IF(INDEX($A191:$AD191,$AG$6)&lt;&gt;"NON-COMPLIED",0,IF(COUNTIFS(INDEX($A$3:$AD$191,0,$AG$4),INDEX($A191:$AD191,$AG$4),INDEX($A$3:$AD$191,0,$AG$6),"NON-COMPLIED")=1,1,0)))))</f>
        <v>0</v>
      </c>
    </row>
    <row r="192" customFormat="false" ht="15" hidden="false" customHeight="false" outlineLevel="0" collapsed="false">
      <c r="AH192" s="21" t="n">
        <f aca="false">IF($AG$4=0,0,IF($AG$6=0,0,IF(INDEX($A192:$AD192,$AG$4)="",0,IF(INDEX($A192:$AD192,$AG$6)&lt;&gt;"NON-COMPLIED",0,IF(COUNTIFS(INDEX($A$3:$AD$192,0,$AG$4),INDEX($A192:$AD192,$AG$4),INDEX($A$3:$AD$192,0,$AG$6),"NON-COMPLIED")=1,1,0)))))</f>
        <v>0</v>
      </c>
    </row>
    <row r="193" customFormat="false" ht="15" hidden="false" customHeight="false" outlineLevel="0" collapsed="false">
      <c r="AH193" s="21" t="n">
        <f aca="false">IF($AG$4=0,0,IF($AG$6=0,0,IF(INDEX($A193:$AD193,$AG$4)="",0,IF(INDEX($A193:$AD193,$AG$6)&lt;&gt;"NON-COMPLIED",0,IF(COUNTIFS(INDEX($A$3:$AD$193,0,$AG$4),INDEX($A193:$AD193,$AG$4),INDEX($A$3:$AD$193,0,$AG$6),"NON-COMPLIED")=1,1,0)))))</f>
        <v>0</v>
      </c>
    </row>
    <row r="194" customFormat="false" ht="15" hidden="false" customHeight="false" outlineLevel="0" collapsed="false">
      <c r="AH194" s="21" t="n">
        <f aca="false">IF($AG$4=0,0,IF($AG$6=0,0,IF(INDEX($A194:$AD194,$AG$4)="",0,IF(INDEX($A194:$AD194,$AG$6)&lt;&gt;"NON-COMPLIED",0,IF(COUNTIFS(INDEX($A$3:$AD$194,0,$AG$4),INDEX($A194:$AD194,$AG$4),INDEX($A$3:$AD$194,0,$AG$6),"NON-COMPLIED")=1,1,0)))))</f>
        <v>0</v>
      </c>
    </row>
    <row r="195" customFormat="false" ht="15" hidden="false" customHeight="false" outlineLevel="0" collapsed="false">
      <c r="AH195" s="21" t="n">
        <f aca="false">IF($AG$4=0,0,IF($AG$6=0,0,IF(INDEX($A195:$AD195,$AG$4)="",0,IF(INDEX($A195:$AD195,$AG$6)&lt;&gt;"NON-COMPLIED",0,IF(COUNTIFS(INDEX($A$3:$AD$195,0,$AG$4),INDEX($A195:$AD195,$AG$4),INDEX($A$3:$AD$195,0,$AG$6),"NON-COMPLIED")=1,1,0)))))</f>
        <v>0</v>
      </c>
    </row>
    <row r="196" customFormat="false" ht="15" hidden="false" customHeight="false" outlineLevel="0" collapsed="false">
      <c r="AH196" s="21" t="n">
        <f aca="false">IF($AG$4=0,0,IF($AG$6=0,0,IF(INDEX($A196:$AD196,$AG$4)="",0,IF(INDEX($A196:$AD196,$AG$6)&lt;&gt;"NON-COMPLIED",0,IF(COUNTIFS(INDEX($A$3:$AD$196,0,$AG$4),INDEX($A196:$AD196,$AG$4),INDEX($A$3:$AD$196,0,$AG$6),"NON-COMPLIED")=1,1,0)))))</f>
        <v>0</v>
      </c>
    </row>
    <row r="197" customFormat="false" ht="15" hidden="false" customHeight="false" outlineLevel="0" collapsed="false">
      <c r="AH197" s="21" t="n">
        <f aca="false">IF($AG$4=0,0,IF($AG$6=0,0,IF(INDEX($A197:$AD197,$AG$4)="",0,IF(INDEX($A197:$AD197,$AG$6)&lt;&gt;"NON-COMPLIED",0,IF(COUNTIFS(INDEX($A$3:$AD$197,0,$AG$4),INDEX($A197:$AD197,$AG$4),INDEX($A$3:$AD$197,0,$AG$6),"NON-COMPLIED")=1,1,0)))))</f>
        <v>0</v>
      </c>
    </row>
    <row r="198" customFormat="false" ht="15" hidden="false" customHeight="false" outlineLevel="0" collapsed="false">
      <c r="AH198" s="21" t="n">
        <f aca="false">IF($AG$4=0,0,IF($AG$6=0,0,IF(INDEX($A198:$AD198,$AG$4)="",0,IF(INDEX($A198:$AD198,$AG$6)&lt;&gt;"NON-COMPLIED",0,IF(COUNTIFS(INDEX($A$3:$AD$198,0,$AG$4),INDEX($A198:$AD198,$AG$4),INDEX($A$3:$AD$198,0,$AG$6),"NON-COMPLIED")=1,1,0)))))</f>
        <v>0</v>
      </c>
    </row>
    <row r="199" customFormat="false" ht="15" hidden="false" customHeight="false" outlineLevel="0" collapsed="false">
      <c r="AH199" s="21" t="n">
        <f aca="false">IF($AG$4=0,0,IF($AG$6=0,0,IF(INDEX($A199:$AD199,$AG$4)="",0,IF(INDEX($A199:$AD199,$AG$6)&lt;&gt;"NON-COMPLIED",0,IF(COUNTIFS(INDEX($A$3:$AD$199,0,$AG$4),INDEX($A199:$AD199,$AG$4),INDEX($A$3:$AD$199,0,$AG$6),"NON-COMPLIED")=1,1,0)))))</f>
        <v>0</v>
      </c>
    </row>
    <row r="200" customFormat="false" ht="15" hidden="false" customHeight="false" outlineLevel="0" collapsed="false">
      <c r="AH200" s="21" t="n">
        <f aca="false">IF($AG$4=0,0,IF($AG$6=0,0,IF(INDEX($A200:$AD200,$AG$4)="",0,IF(INDEX($A200:$AD200,$AG$6)&lt;&gt;"NON-COMPLIED",0,IF(COUNTIFS(INDEX($A$3:$AD$200,0,$AG$4),INDEX($A200:$AD200,$AG$4),INDEX($A$3:$AD$200,0,$AG$6),"NON-COMPLIED")=1,1,0)))))</f>
        <v>0</v>
      </c>
    </row>
    <row r="201" customFormat="false" ht="15" hidden="false" customHeight="false" outlineLevel="0" collapsed="false">
      <c r="AH201" s="21" t="n">
        <f aca="false">IF($AG$4=0,0,IF($AG$6=0,0,IF(INDEX($A201:$AD201,$AG$4)="",0,IF(INDEX($A201:$AD201,$AG$6)&lt;&gt;"NON-COMPLIED",0,IF(COUNTIFS(INDEX($A$3:$AD$201,0,$AG$4),INDEX($A201:$AD201,$AG$4),INDEX($A$3:$AD$201,0,$AG$6),"NON-COMPLIED")=1,1,0)))))</f>
        <v>0</v>
      </c>
    </row>
    <row r="202" customFormat="false" ht="15" hidden="false" customHeight="false" outlineLevel="0" collapsed="false">
      <c r="AH202" s="21" t="n">
        <f aca="false">IF($AG$4=0,0,IF($AG$6=0,0,IF(INDEX($A202:$AD202,$AG$4)="",0,IF(INDEX($A202:$AD202,$AG$6)&lt;&gt;"NON-COMPLIED",0,IF(COUNTIFS(INDEX($A$3:$AD$202,0,$AG$4),INDEX($A202:$AD202,$AG$4),INDEX($A$3:$AD$202,0,$AG$6),"NON-COMPLIED")=1,1,0)))))</f>
        <v>0</v>
      </c>
    </row>
    <row r="203" customFormat="false" ht="15" hidden="false" customHeight="false" outlineLevel="0" collapsed="false">
      <c r="AH203" s="21" t="n">
        <f aca="false">IF($AG$4=0,0,IF($AG$6=0,0,IF(INDEX($A203:$AD203,$AG$4)="",0,IF(INDEX($A203:$AD203,$AG$6)&lt;&gt;"NON-COMPLIED",0,IF(COUNTIFS(INDEX($A$3:$AD$203,0,$AG$4),INDEX($A203:$AD203,$AG$4),INDEX($A$3:$AD$203,0,$AG$6),"NON-COMPLIED")=1,1,0)))))</f>
        <v>0</v>
      </c>
    </row>
    <row r="204" customFormat="false" ht="15" hidden="false" customHeight="false" outlineLevel="0" collapsed="false">
      <c r="AH204" s="21" t="n">
        <f aca="false">IF($AG$4=0,0,IF($AG$6=0,0,IF(INDEX($A204:$AD204,$AG$4)="",0,IF(INDEX($A204:$AD204,$AG$6)&lt;&gt;"NON-COMPLIED",0,IF(COUNTIFS(INDEX($A$3:$AD$204,0,$AG$4),INDEX($A204:$AD204,$AG$4),INDEX($A$3:$AD$204,0,$AG$6),"NON-COMPLIED")=1,1,0)))))</f>
        <v>0</v>
      </c>
    </row>
    <row r="205" customFormat="false" ht="15" hidden="false" customHeight="false" outlineLevel="0" collapsed="false">
      <c r="AH205" s="21" t="n">
        <f aca="false">IF($AG$4=0,0,IF($AG$6=0,0,IF(INDEX($A205:$AD205,$AG$4)="",0,IF(INDEX($A205:$AD205,$AG$6)&lt;&gt;"NON-COMPLIED",0,IF(COUNTIFS(INDEX($A$3:$AD$205,0,$AG$4),INDEX($A205:$AD205,$AG$4),INDEX($A$3:$AD$205,0,$AG$6),"NON-COMPLIED")=1,1,0)))))</f>
        <v>0</v>
      </c>
    </row>
    <row r="206" customFormat="false" ht="15" hidden="false" customHeight="false" outlineLevel="0" collapsed="false">
      <c r="AH206" s="21" t="n">
        <f aca="false">IF($AG$4=0,0,IF($AG$6=0,0,IF(INDEX($A206:$AD206,$AG$4)="",0,IF(INDEX($A206:$AD206,$AG$6)&lt;&gt;"NON-COMPLIED",0,IF(COUNTIFS(INDEX($A$3:$AD$206,0,$AG$4),INDEX($A206:$AD206,$AG$4),INDEX($A$3:$AD$206,0,$AG$6),"NON-COMPLIED")=1,1,0)))))</f>
        <v>0</v>
      </c>
    </row>
    <row r="207" customFormat="false" ht="15" hidden="false" customHeight="false" outlineLevel="0" collapsed="false">
      <c r="AH207" s="21" t="n">
        <f aca="false">IF($AG$4=0,0,IF($AG$6=0,0,IF(INDEX($A207:$AD207,$AG$4)="",0,IF(INDEX($A207:$AD207,$AG$6)&lt;&gt;"NON-COMPLIED",0,IF(COUNTIFS(INDEX($A$3:$AD$207,0,$AG$4),INDEX($A207:$AD207,$AG$4),INDEX($A$3:$AD$207,0,$AG$6),"NON-COMPLIED")=1,1,0)))))</f>
        <v>0</v>
      </c>
    </row>
    <row r="208" customFormat="false" ht="15" hidden="false" customHeight="false" outlineLevel="0" collapsed="false">
      <c r="AH208" s="21" t="n">
        <f aca="false">IF($AG$4=0,0,IF($AG$6=0,0,IF(INDEX($A208:$AD208,$AG$4)="",0,IF(INDEX($A208:$AD208,$AG$6)&lt;&gt;"NON-COMPLIED",0,IF(COUNTIFS(INDEX($A$3:$AD$208,0,$AG$4),INDEX($A208:$AD208,$AG$4),INDEX($A$3:$AD$208,0,$AG$6),"NON-COMPLIED")=1,1,0)))))</f>
        <v>0</v>
      </c>
    </row>
    <row r="209" customFormat="false" ht="15" hidden="false" customHeight="false" outlineLevel="0" collapsed="false">
      <c r="AH209" s="21" t="n">
        <f aca="false">IF($AG$4=0,0,IF($AG$6=0,0,IF(INDEX($A209:$AD209,$AG$4)="",0,IF(INDEX($A209:$AD209,$AG$6)&lt;&gt;"NON-COMPLIED",0,IF(COUNTIFS(INDEX($A$3:$AD$209,0,$AG$4),INDEX($A209:$AD209,$AG$4),INDEX($A$3:$AD$209,0,$AG$6),"NON-COMPLIED")=1,1,0)))))</f>
        <v>0</v>
      </c>
    </row>
    <row r="210" customFormat="false" ht="15" hidden="false" customHeight="false" outlineLevel="0" collapsed="false">
      <c r="AH210" s="21" t="n">
        <f aca="false">IF($AG$4=0,0,IF($AG$6=0,0,IF(INDEX($A210:$AD210,$AG$4)="",0,IF(INDEX($A210:$AD210,$AG$6)&lt;&gt;"NON-COMPLIED",0,IF(COUNTIFS(INDEX($A$3:$AD$210,0,$AG$4),INDEX($A210:$AD210,$AG$4),INDEX($A$3:$AD$210,0,$AG$6),"NON-COMPLIED")=1,1,0)))))</f>
        <v>0</v>
      </c>
    </row>
    <row r="211" customFormat="false" ht="15" hidden="false" customHeight="false" outlineLevel="0" collapsed="false">
      <c r="AH211" s="21" t="n">
        <f aca="false">IF($AG$4=0,0,IF($AG$6=0,0,IF(INDEX($A211:$AD211,$AG$4)="",0,IF(INDEX($A211:$AD211,$AG$6)&lt;&gt;"NON-COMPLIED",0,IF(COUNTIFS(INDEX($A$3:$AD$211,0,$AG$4),INDEX($A211:$AD211,$AG$4),INDEX($A$3:$AD$211,0,$AG$6),"NON-COMPLIED")=1,1,0)))))</f>
        <v>0</v>
      </c>
    </row>
    <row r="212" customFormat="false" ht="15" hidden="false" customHeight="false" outlineLevel="0" collapsed="false">
      <c r="AH212" s="21" t="n">
        <f aca="false">IF($AG$4=0,0,IF($AG$6=0,0,IF(INDEX($A212:$AD212,$AG$4)="",0,IF(INDEX($A212:$AD212,$AG$6)&lt;&gt;"NON-COMPLIED",0,IF(COUNTIFS(INDEX($A$3:$AD$212,0,$AG$4),INDEX($A212:$AD212,$AG$4),INDEX($A$3:$AD$212,0,$AG$6),"NON-COMPLIED")=1,1,0)))))</f>
        <v>0</v>
      </c>
    </row>
    <row r="213" customFormat="false" ht="15" hidden="false" customHeight="false" outlineLevel="0" collapsed="false">
      <c r="AH213" s="21" t="n">
        <f aca="false">IF($AG$4=0,0,IF($AG$6=0,0,IF(INDEX($A213:$AD213,$AG$4)="",0,IF(INDEX($A213:$AD213,$AG$6)&lt;&gt;"NON-COMPLIED",0,IF(COUNTIFS(INDEX($A$3:$AD$213,0,$AG$4),INDEX($A213:$AD213,$AG$4),INDEX($A$3:$AD$213,0,$AG$6),"NON-COMPLIED")=1,1,0)))))</f>
        <v>0</v>
      </c>
    </row>
    <row r="214" customFormat="false" ht="15" hidden="false" customHeight="false" outlineLevel="0" collapsed="false">
      <c r="AH214" s="21" t="n">
        <f aca="false">IF($AG$4=0,0,IF($AG$6=0,0,IF(INDEX($A214:$AD214,$AG$4)="",0,IF(INDEX($A214:$AD214,$AG$6)&lt;&gt;"NON-COMPLIED",0,IF(COUNTIFS(INDEX($A$3:$AD$214,0,$AG$4),INDEX($A214:$AD214,$AG$4),INDEX($A$3:$AD$214,0,$AG$6),"NON-COMPLIED")=1,1,0)))))</f>
        <v>0</v>
      </c>
    </row>
    <row r="215" customFormat="false" ht="15" hidden="false" customHeight="false" outlineLevel="0" collapsed="false">
      <c r="AH215" s="21" t="n">
        <f aca="false">IF($AG$4=0,0,IF($AG$6=0,0,IF(INDEX($A215:$AD215,$AG$4)="",0,IF(INDEX($A215:$AD215,$AG$6)&lt;&gt;"NON-COMPLIED",0,IF(COUNTIFS(INDEX($A$3:$AD$215,0,$AG$4),INDEX($A215:$AD215,$AG$4),INDEX($A$3:$AD$215,0,$AG$6),"NON-COMPLIED")=1,1,0)))))</f>
        <v>0</v>
      </c>
    </row>
    <row r="216" customFormat="false" ht="15" hidden="false" customHeight="false" outlineLevel="0" collapsed="false">
      <c r="AH216" s="21" t="n">
        <f aca="false">IF($AG$4=0,0,IF($AG$6=0,0,IF(INDEX($A216:$AD216,$AG$4)="",0,IF(INDEX($A216:$AD216,$AG$6)&lt;&gt;"NON-COMPLIED",0,IF(COUNTIFS(INDEX($A$3:$AD$216,0,$AG$4),INDEX($A216:$AD216,$AG$4),INDEX($A$3:$AD$216,0,$AG$6),"NON-COMPLIED")=1,1,0)))))</f>
        <v>0</v>
      </c>
    </row>
    <row r="217" customFormat="false" ht="15" hidden="false" customHeight="false" outlineLevel="0" collapsed="false">
      <c r="AH217" s="21" t="n">
        <f aca="false">IF($AG$4=0,0,IF($AG$6=0,0,IF(INDEX($A217:$AD217,$AG$4)="",0,IF(INDEX($A217:$AD217,$AG$6)&lt;&gt;"NON-COMPLIED",0,IF(COUNTIFS(INDEX($A$3:$AD$217,0,$AG$4),INDEX($A217:$AD217,$AG$4),INDEX($A$3:$AD$217,0,$AG$6),"NON-COMPLIED")=1,1,0)))))</f>
        <v>0</v>
      </c>
    </row>
    <row r="218" customFormat="false" ht="15" hidden="false" customHeight="false" outlineLevel="0" collapsed="false">
      <c r="AH218" s="21" t="n">
        <f aca="false">IF($AG$4=0,0,IF($AG$6=0,0,IF(INDEX($A218:$AD218,$AG$4)="",0,IF(INDEX($A218:$AD218,$AG$6)&lt;&gt;"NON-COMPLIED",0,IF(COUNTIFS(INDEX($A$3:$AD$218,0,$AG$4),INDEX($A218:$AD218,$AG$4),INDEX($A$3:$AD$218,0,$AG$6),"NON-COMPLIED")=1,1,0)))))</f>
        <v>0</v>
      </c>
    </row>
    <row r="219" customFormat="false" ht="15" hidden="false" customHeight="false" outlineLevel="0" collapsed="false">
      <c r="AH219" s="21" t="n">
        <f aca="false">IF($AG$4=0,0,IF($AG$6=0,0,IF(INDEX($A219:$AD219,$AG$4)="",0,IF(INDEX($A219:$AD219,$AG$6)&lt;&gt;"NON-COMPLIED",0,IF(COUNTIFS(INDEX($A$3:$AD$219,0,$AG$4),INDEX($A219:$AD219,$AG$4),INDEX($A$3:$AD$219,0,$AG$6),"NON-COMPLIED")=1,1,0)))))</f>
        <v>0</v>
      </c>
    </row>
    <row r="220" customFormat="false" ht="15" hidden="false" customHeight="false" outlineLevel="0" collapsed="false">
      <c r="AH220" s="21" t="n">
        <f aca="false">IF($AG$4=0,0,IF($AG$6=0,0,IF(INDEX($A220:$AD220,$AG$4)="",0,IF(INDEX($A220:$AD220,$AG$6)&lt;&gt;"NON-COMPLIED",0,IF(COUNTIFS(INDEX($A$3:$AD$220,0,$AG$4),INDEX($A220:$AD220,$AG$4),INDEX($A$3:$AD$220,0,$AG$6),"NON-COMPLIED")=1,1,0)))))</f>
        <v>0</v>
      </c>
    </row>
    <row r="221" customFormat="false" ht="15" hidden="false" customHeight="false" outlineLevel="0" collapsed="false">
      <c r="AH221" s="21" t="n">
        <f aca="false">IF($AG$4=0,0,IF($AG$6=0,0,IF(INDEX($A221:$AD221,$AG$4)="",0,IF(INDEX($A221:$AD221,$AG$6)&lt;&gt;"NON-COMPLIED",0,IF(COUNTIFS(INDEX($A$3:$AD$221,0,$AG$4),INDEX($A221:$AD221,$AG$4),INDEX($A$3:$AD$221,0,$AG$6),"NON-COMPLIED")=1,1,0)))))</f>
        <v>0</v>
      </c>
    </row>
    <row r="222" customFormat="false" ht="15" hidden="false" customHeight="false" outlineLevel="0" collapsed="false">
      <c r="AH222" s="21" t="n">
        <f aca="false">IF($AG$4=0,0,IF($AG$6=0,0,IF(INDEX($A222:$AD222,$AG$4)="",0,IF(INDEX($A222:$AD222,$AG$6)&lt;&gt;"NON-COMPLIED",0,IF(COUNTIFS(INDEX($A$3:$AD$222,0,$AG$4),INDEX($A222:$AD222,$AG$4),INDEX($A$3:$AD$222,0,$AG$6),"NON-COMPLIED")=1,1,0)))))</f>
        <v>0</v>
      </c>
    </row>
    <row r="223" customFormat="false" ht="15" hidden="false" customHeight="false" outlineLevel="0" collapsed="false">
      <c r="AH223" s="21" t="n">
        <f aca="false">IF($AG$4=0,0,IF($AG$6=0,0,IF(INDEX($A223:$AD223,$AG$4)="",0,IF(INDEX($A223:$AD223,$AG$6)&lt;&gt;"NON-COMPLIED",0,IF(COUNTIFS(INDEX($A$3:$AD$223,0,$AG$4),INDEX($A223:$AD223,$AG$4),INDEX($A$3:$AD$223,0,$AG$6),"NON-COMPLIED")=1,1,0)))))</f>
        <v>0</v>
      </c>
    </row>
    <row r="224" customFormat="false" ht="15" hidden="false" customHeight="false" outlineLevel="0" collapsed="false">
      <c r="AH224" s="21" t="n">
        <f aca="false">IF($AG$4=0,0,IF($AG$6=0,0,IF(INDEX($A224:$AD224,$AG$4)="",0,IF(INDEX($A224:$AD224,$AG$6)&lt;&gt;"NON-COMPLIED",0,IF(COUNTIFS(INDEX($A$3:$AD$224,0,$AG$4),INDEX($A224:$AD224,$AG$4),INDEX($A$3:$AD$224,0,$AG$6),"NON-COMPLIED")=1,1,0)))))</f>
        <v>0</v>
      </c>
    </row>
    <row r="225" customFormat="false" ht="15" hidden="false" customHeight="false" outlineLevel="0" collapsed="false">
      <c r="AH225" s="21" t="n">
        <f aca="false">IF($AG$4=0,0,IF($AG$6=0,0,IF(INDEX($A225:$AD225,$AG$4)="",0,IF(INDEX($A225:$AD225,$AG$6)&lt;&gt;"NON-COMPLIED",0,IF(COUNTIFS(INDEX($A$3:$AD$225,0,$AG$4),INDEX($A225:$AD225,$AG$4),INDEX($A$3:$AD$225,0,$AG$6),"NON-COMPLIED")=1,1,0)))))</f>
        <v>0</v>
      </c>
    </row>
    <row r="226" customFormat="false" ht="15" hidden="false" customHeight="false" outlineLevel="0" collapsed="false">
      <c r="AH226" s="21" t="n">
        <f aca="false">IF($AG$4=0,0,IF($AG$6=0,0,IF(INDEX($A226:$AD226,$AG$4)="",0,IF(INDEX($A226:$AD226,$AG$6)&lt;&gt;"NON-COMPLIED",0,IF(COUNTIFS(INDEX($A$3:$AD$226,0,$AG$4),INDEX($A226:$AD226,$AG$4),INDEX($A$3:$AD$226,0,$AG$6),"NON-COMPLIED")=1,1,0)))))</f>
        <v>0</v>
      </c>
    </row>
    <row r="227" customFormat="false" ht="15" hidden="false" customHeight="false" outlineLevel="0" collapsed="false">
      <c r="AH227" s="21" t="n">
        <f aca="false">IF($AG$4=0,0,IF($AG$6=0,0,IF(INDEX($A227:$AD227,$AG$4)="",0,IF(INDEX($A227:$AD227,$AG$6)&lt;&gt;"NON-COMPLIED",0,IF(COUNTIFS(INDEX($A$3:$AD$227,0,$AG$4),INDEX($A227:$AD227,$AG$4),INDEX($A$3:$AD$227,0,$AG$6),"NON-COMPLIED")=1,1,0)))))</f>
        <v>0</v>
      </c>
    </row>
    <row r="228" customFormat="false" ht="15" hidden="false" customHeight="false" outlineLevel="0" collapsed="false">
      <c r="AH228" s="21" t="n">
        <f aca="false">IF($AG$4=0,0,IF($AG$6=0,0,IF(INDEX($A228:$AD228,$AG$4)="",0,IF(INDEX($A228:$AD228,$AG$6)&lt;&gt;"NON-COMPLIED",0,IF(COUNTIFS(INDEX($A$3:$AD$228,0,$AG$4),INDEX($A228:$AD228,$AG$4),INDEX($A$3:$AD$228,0,$AG$6),"NON-COMPLIED")=1,1,0)))))</f>
        <v>0</v>
      </c>
    </row>
    <row r="229" customFormat="false" ht="15" hidden="false" customHeight="false" outlineLevel="0" collapsed="false">
      <c r="AH229" s="21" t="n">
        <f aca="false">IF($AG$4=0,0,IF($AG$6=0,0,IF(INDEX($A229:$AD229,$AG$4)="",0,IF(INDEX($A229:$AD229,$AG$6)&lt;&gt;"NON-COMPLIED",0,IF(COUNTIFS(INDEX($A$3:$AD$229,0,$AG$4),INDEX($A229:$AD229,$AG$4),INDEX($A$3:$AD$229,0,$AG$6),"NON-COMPLIED")=1,1,0)))))</f>
        <v>0</v>
      </c>
    </row>
    <row r="230" customFormat="false" ht="15" hidden="false" customHeight="false" outlineLevel="0" collapsed="false">
      <c r="AH230" s="21" t="n">
        <f aca="false">IF($AG$4=0,0,IF($AG$6=0,0,IF(INDEX($A230:$AD230,$AG$4)="",0,IF(INDEX($A230:$AD230,$AG$6)&lt;&gt;"NON-COMPLIED",0,IF(COUNTIFS(INDEX($A$3:$AD$230,0,$AG$4),INDEX($A230:$AD230,$AG$4),INDEX($A$3:$AD$230,0,$AG$6),"NON-COMPLIED")=1,1,0)))))</f>
        <v>0</v>
      </c>
    </row>
    <row r="231" customFormat="false" ht="15" hidden="false" customHeight="false" outlineLevel="0" collapsed="false">
      <c r="AH231" s="21" t="n">
        <f aca="false">IF($AG$4=0,0,IF($AG$6=0,0,IF(INDEX($A231:$AD231,$AG$4)="",0,IF(INDEX($A231:$AD231,$AG$6)&lt;&gt;"NON-COMPLIED",0,IF(COUNTIFS(INDEX($A$3:$AD$231,0,$AG$4),INDEX($A231:$AD231,$AG$4),INDEX($A$3:$AD$231,0,$AG$6),"NON-COMPLIED")=1,1,0)))))</f>
        <v>0</v>
      </c>
    </row>
    <row r="232" customFormat="false" ht="15" hidden="false" customHeight="false" outlineLevel="0" collapsed="false">
      <c r="AH232" s="21" t="n">
        <f aca="false">IF($AG$4=0,0,IF($AG$6=0,0,IF(INDEX($A232:$AD232,$AG$4)="",0,IF(INDEX($A232:$AD232,$AG$6)&lt;&gt;"NON-COMPLIED",0,IF(COUNTIFS(INDEX($A$3:$AD$232,0,$AG$4),INDEX($A232:$AD232,$AG$4),INDEX($A$3:$AD$232,0,$AG$6),"NON-COMPLIED")=1,1,0)))))</f>
        <v>0</v>
      </c>
    </row>
    <row r="233" customFormat="false" ht="15" hidden="false" customHeight="false" outlineLevel="0" collapsed="false">
      <c r="AH233" s="21" t="n">
        <f aca="false">IF($AG$4=0,0,IF($AG$6=0,0,IF(INDEX($A233:$AD233,$AG$4)="",0,IF(INDEX($A233:$AD233,$AG$6)&lt;&gt;"NON-COMPLIED",0,IF(COUNTIFS(INDEX($A$3:$AD$233,0,$AG$4),INDEX($A233:$AD233,$AG$4),INDEX($A$3:$AD$233,0,$AG$6),"NON-COMPLIED")=1,1,0)))))</f>
        <v>0</v>
      </c>
    </row>
    <row r="234" customFormat="false" ht="15" hidden="false" customHeight="false" outlineLevel="0" collapsed="false">
      <c r="AH234" s="21" t="n">
        <f aca="false">IF($AG$4=0,0,IF($AG$6=0,0,IF(INDEX($A234:$AD234,$AG$4)="",0,IF(INDEX($A234:$AD234,$AG$6)&lt;&gt;"NON-COMPLIED",0,IF(COUNTIFS(INDEX($A$3:$AD$234,0,$AG$4),INDEX($A234:$AD234,$AG$4),INDEX($A$3:$AD$234,0,$AG$6),"NON-COMPLIED")=1,1,0)))))</f>
        <v>0</v>
      </c>
    </row>
    <row r="235" customFormat="false" ht="15" hidden="false" customHeight="false" outlineLevel="0" collapsed="false">
      <c r="AH235" s="21" t="n">
        <f aca="false">IF($AG$4=0,0,IF($AG$6=0,0,IF(INDEX($A235:$AD235,$AG$4)="",0,IF(INDEX($A235:$AD235,$AG$6)&lt;&gt;"NON-COMPLIED",0,IF(COUNTIFS(INDEX($A$3:$AD$235,0,$AG$4),INDEX($A235:$AD235,$AG$4),INDEX($A$3:$AD$235,0,$AG$6),"NON-COMPLIED")=1,1,0)))))</f>
        <v>0</v>
      </c>
    </row>
    <row r="236" customFormat="false" ht="15" hidden="false" customHeight="false" outlineLevel="0" collapsed="false">
      <c r="AH236" s="21" t="n">
        <f aca="false">IF($AG$4=0,0,IF($AG$6=0,0,IF(INDEX($A236:$AD236,$AG$4)="",0,IF(INDEX($A236:$AD236,$AG$6)&lt;&gt;"NON-COMPLIED",0,IF(COUNTIFS(INDEX($A$3:$AD$236,0,$AG$4),INDEX($A236:$AD236,$AG$4),INDEX($A$3:$AD$236,0,$AG$6),"NON-COMPLIED")=1,1,0)))))</f>
        <v>0</v>
      </c>
    </row>
    <row r="237" customFormat="false" ht="15" hidden="false" customHeight="false" outlineLevel="0" collapsed="false">
      <c r="AH237" s="21" t="n">
        <f aca="false">IF($AG$4=0,0,IF($AG$6=0,0,IF(INDEX($A237:$AD237,$AG$4)="",0,IF(INDEX($A237:$AD237,$AG$6)&lt;&gt;"NON-COMPLIED",0,IF(COUNTIFS(INDEX($A$3:$AD$237,0,$AG$4),INDEX($A237:$AD237,$AG$4),INDEX($A$3:$AD$237,0,$AG$6),"NON-COMPLIED")=1,1,0)))))</f>
        <v>0</v>
      </c>
    </row>
    <row r="238" customFormat="false" ht="15" hidden="false" customHeight="false" outlineLevel="0" collapsed="false">
      <c r="AH238" s="21" t="n">
        <f aca="false">IF($AG$4=0,0,IF($AG$6=0,0,IF(INDEX($A238:$AD238,$AG$4)="",0,IF(INDEX($A238:$AD238,$AG$6)&lt;&gt;"NON-COMPLIED",0,IF(COUNTIFS(INDEX($A$3:$AD$238,0,$AG$4),INDEX($A238:$AD238,$AG$4),INDEX($A$3:$AD$238,0,$AG$6),"NON-COMPLIED")=1,1,0)))))</f>
        <v>0</v>
      </c>
    </row>
    <row r="239" customFormat="false" ht="15" hidden="false" customHeight="false" outlineLevel="0" collapsed="false">
      <c r="AH239" s="21" t="n">
        <f aca="false">IF($AG$4=0,0,IF($AG$6=0,0,IF(INDEX($A239:$AD239,$AG$4)="",0,IF(INDEX($A239:$AD239,$AG$6)&lt;&gt;"NON-COMPLIED",0,IF(COUNTIFS(INDEX($A$3:$AD$239,0,$AG$4),INDEX($A239:$AD239,$AG$4),INDEX($A$3:$AD$239,0,$AG$6),"NON-COMPLIED")=1,1,0)))))</f>
        <v>0</v>
      </c>
    </row>
    <row r="240" customFormat="false" ht="15" hidden="false" customHeight="false" outlineLevel="0" collapsed="false">
      <c r="AH240" s="21" t="n">
        <f aca="false">IF($AG$4=0,0,IF($AG$6=0,0,IF(INDEX($A240:$AD240,$AG$4)="",0,IF(INDEX($A240:$AD240,$AG$6)&lt;&gt;"NON-COMPLIED",0,IF(COUNTIFS(INDEX($A$3:$AD$240,0,$AG$4),INDEX($A240:$AD240,$AG$4),INDEX($A$3:$AD$240,0,$AG$6),"NON-COMPLIED")=1,1,0)))))</f>
        <v>0</v>
      </c>
    </row>
    <row r="241" customFormat="false" ht="15" hidden="false" customHeight="false" outlineLevel="0" collapsed="false">
      <c r="AH241" s="21" t="n">
        <f aca="false">IF($AG$4=0,0,IF($AG$6=0,0,IF(INDEX($A241:$AD241,$AG$4)="",0,IF(INDEX($A241:$AD241,$AG$6)&lt;&gt;"NON-COMPLIED",0,IF(COUNTIFS(INDEX($A$3:$AD$241,0,$AG$4),INDEX($A241:$AD241,$AG$4),INDEX($A$3:$AD$241,0,$AG$6),"NON-COMPLIED")=1,1,0)))))</f>
        <v>0</v>
      </c>
    </row>
    <row r="242" customFormat="false" ht="15" hidden="false" customHeight="false" outlineLevel="0" collapsed="false">
      <c r="AH242" s="21" t="n">
        <f aca="false">IF($AG$4=0,0,IF($AG$6=0,0,IF(INDEX($A242:$AD242,$AG$4)="",0,IF(INDEX($A242:$AD242,$AG$6)&lt;&gt;"NON-COMPLIED",0,IF(COUNTIFS(INDEX($A$3:$AD$242,0,$AG$4),INDEX($A242:$AD242,$AG$4),INDEX($A$3:$AD$242,0,$AG$6),"NON-COMPLIED")=1,1,0)))))</f>
        <v>0</v>
      </c>
    </row>
    <row r="243" customFormat="false" ht="15" hidden="false" customHeight="false" outlineLevel="0" collapsed="false">
      <c r="AH243" s="21" t="n">
        <f aca="false">IF($AG$4=0,0,IF($AG$6=0,0,IF(INDEX($A243:$AD243,$AG$4)="",0,IF(INDEX($A243:$AD243,$AG$6)&lt;&gt;"NON-COMPLIED",0,IF(COUNTIFS(INDEX($A$3:$AD$243,0,$AG$4),INDEX($A243:$AD243,$AG$4),INDEX($A$3:$AD$243,0,$AG$6),"NON-COMPLIED")=1,1,0)))))</f>
        <v>0</v>
      </c>
    </row>
    <row r="244" customFormat="false" ht="15" hidden="false" customHeight="false" outlineLevel="0" collapsed="false">
      <c r="AH244" s="21" t="n">
        <f aca="false">IF($AG$4=0,0,IF($AG$6=0,0,IF(INDEX($A244:$AD244,$AG$4)="",0,IF(INDEX($A244:$AD244,$AG$6)&lt;&gt;"NON-COMPLIED",0,IF(COUNTIFS(INDEX($A$3:$AD$244,0,$AG$4),INDEX($A244:$AD244,$AG$4),INDEX($A$3:$AD$244,0,$AG$6),"NON-COMPLIED")=1,1,0)))))</f>
        <v>0</v>
      </c>
    </row>
    <row r="245" customFormat="false" ht="15" hidden="false" customHeight="false" outlineLevel="0" collapsed="false">
      <c r="AH245" s="21" t="n">
        <f aca="false">IF($AG$4=0,0,IF($AG$6=0,0,IF(INDEX($A245:$AD245,$AG$4)="",0,IF(INDEX($A245:$AD245,$AG$6)&lt;&gt;"NON-COMPLIED",0,IF(COUNTIFS(INDEX($A$3:$AD$245,0,$AG$4),INDEX($A245:$AD245,$AG$4),INDEX($A$3:$AD$245,0,$AG$6),"NON-COMPLIED")=1,1,0)))))</f>
        <v>0</v>
      </c>
    </row>
    <row r="246" customFormat="false" ht="15" hidden="false" customHeight="false" outlineLevel="0" collapsed="false">
      <c r="AH246" s="21" t="n">
        <f aca="false">IF($AG$4=0,0,IF($AG$6=0,0,IF(INDEX($A246:$AD246,$AG$4)="",0,IF(INDEX($A246:$AD246,$AG$6)&lt;&gt;"NON-COMPLIED",0,IF(COUNTIFS(INDEX($A$3:$AD$246,0,$AG$4),INDEX($A246:$AD246,$AG$4),INDEX($A$3:$AD$246,0,$AG$6),"NON-COMPLIED")=1,1,0)))))</f>
        <v>0</v>
      </c>
    </row>
    <row r="247" customFormat="false" ht="15" hidden="false" customHeight="false" outlineLevel="0" collapsed="false">
      <c r="AH247" s="21" t="n">
        <f aca="false">IF($AG$4=0,0,IF($AG$6=0,0,IF(INDEX($A247:$AD247,$AG$4)="",0,IF(INDEX($A247:$AD247,$AG$6)&lt;&gt;"NON-COMPLIED",0,IF(COUNTIFS(INDEX($A$3:$AD$247,0,$AG$4),INDEX($A247:$AD247,$AG$4),INDEX($A$3:$AD$247,0,$AG$6),"NON-COMPLIED")=1,1,0)))))</f>
        <v>0</v>
      </c>
    </row>
    <row r="248" customFormat="false" ht="15" hidden="false" customHeight="false" outlineLevel="0" collapsed="false">
      <c r="AH248" s="21" t="n">
        <f aca="false">IF($AG$4=0,0,IF($AG$6=0,0,IF(INDEX($A248:$AD248,$AG$4)="",0,IF(INDEX($A248:$AD248,$AG$6)&lt;&gt;"NON-COMPLIED",0,IF(COUNTIFS(INDEX($A$3:$AD$248,0,$AG$4),INDEX($A248:$AD248,$AG$4),INDEX($A$3:$AD$248,0,$AG$6),"NON-COMPLIED")=1,1,0)))))</f>
        <v>0</v>
      </c>
    </row>
    <row r="249" customFormat="false" ht="15" hidden="false" customHeight="false" outlineLevel="0" collapsed="false">
      <c r="AH249" s="21" t="n">
        <f aca="false">IF($AG$4=0,0,IF($AG$6=0,0,IF(INDEX($A249:$AD249,$AG$4)="",0,IF(INDEX($A249:$AD249,$AG$6)&lt;&gt;"NON-COMPLIED",0,IF(COUNTIFS(INDEX($A$3:$AD$249,0,$AG$4),INDEX($A249:$AD249,$AG$4),INDEX($A$3:$AD$249,0,$AG$6),"NON-COMPLIED")=1,1,0)))))</f>
        <v>0</v>
      </c>
    </row>
    <row r="250" customFormat="false" ht="15" hidden="false" customHeight="false" outlineLevel="0" collapsed="false">
      <c r="AH250" s="21" t="n">
        <f aca="false">IF($AG$4=0,0,IF($AG$6=0,0,IF(INDEX($A250:$AD250,$AG$4)="",0,IF(INDEX($A250:$AD250,$AG$6)&lt;&gt;"NON-COMPLIED",0,IF(COUNTIFS(INDEX($A$3:$AD$250,0,$AG$4),INDEX($A250:$AD250,$AG$4),INDEX($A$3:$AD$250,0,$AG$6),"NON-COMPLIED")=1,1,0)))))</f>
        <v>0</v>
      </c>
    </row>
    <row r="251" customFormat="false" ht="15" hidden="false" customHeight="false" outlineLevel="0" collapsed="false">
      <c r="AH251" s="21" t="n">
        <f aca="false">IF($AG$4=0,0,IF($AG$6=0,0,IF(INDEX($A251:$AD251,$AG$4)="",0,IF(INDEX($A251:$AD251,$AG$6)&lt;&gt;"NON-COMPLIED",0,IF(COUNTIFS(INDEX($A$3:$AD$251,0,$AG$4),INDEX($A251:$AD251,$AG$4),INDEX($A$3:$AD$251,0,$AG$6),"NON-COMPLIED")=1,1,0)))))</f>
        <v>0</v>
      </c>
    </row>
    <row r="252" customFormat="false" ht="15" hidden="false" customHeight="false" outlineLevel="0" collapsed="false">
      <c r="AH252" s="21" t="n">
        <f aca="false">IF($AG$4=0,0,IF($AG$6=0,0,IF(INDEX($A252:$AD252,$AG$4)="",0,IF(INDEX($A252:$AD252,$AG$6)&lt;&gt;"NON-COMPLIED",0,IF(COUNTIFS(INDEX($A$3:$AD$252,0,$AG$4),INDEX($A252:$AD252,$AG$4),INDEX($A$3:$AD$252,0,$AG$6),"NON-COMPLIED")=1,1,0)))))</f>
        <v>0</v>
      </c>
    </row>
    <row r="253" customFormat="false" ht="15" hidden="false" customHeight="false" outlineLevel="0" collapsed="false">
      <c r="AH253" s="21" t="n">
        <f aca="false">IF($AG$4=0,0,IF($AG$6=0,0,IF(INDEX($A253:$AD253,$AG$4)="",0,IF(INDEX($A253:$AD253,$AG$6)&lt;&gt;"NON-COMPLIED",0,IF(COUNTIFS(INDEX($A$3:$AD$253,0,$AG$4),INDEX($A253:$AD253,$AG$4),INDEX($A$3:$AD$253,0,$AG$6),"NON-COMPLIED")=1,1,0)))))</f>
        <v>0</v>
      </c>
    </row>
    <row r="254" customFormat="false" ht="15" hidden="false" customHeight="false" outlineLevel="0" collapsed="false">
      <c r="AH254" s="21" t="n">
        <f aca="false">IF($AG$4=0,0,IF($AG$6=0,0,IF(INDEX($A254:$AD254,$AG$4)="",0,IF(INDEX($A254:$AD254,$AG$6)&lt;&gt;"NON-COMPLIED",0,IF(COUNTIFS(INDEX($A$3:$AD$254,0,$AG$4),INDEX($A254:$AD254,$AG$4),INDEX($A$3:$AD$254,0,$AG$6),"NON-COMPLIED")=1,1,0)))))</f>
        <v>0</v>
      </c>
    </row>
    <row r="255" customFormat="false" ht="15" hidden="false" customHeight="false" outlineLevel="0" collapsed="false">
      <c r="AH255" s="21" t="n">
        <f aca="false">IF($AG$4=0,0,IF($AG$6=0,0,IF(INDEX($A255:$AD255,$AG$4)="",0,IF(INDEX($A255:$AD255,$AG$6)&lt;&gt;"NON-COMPLIED",0,IF(COUNTIFS(INDEX($A$3:$AD$255,0,$AG$4),INDEX($A255:$AD255,$AG$4),INDEX($A$3:$AD$255,0,$AG$6),"NON-COMPLIED")=1,1,0)))))</f>
        <v>0</v>
      </c>
    </row>
    <row r="256" customFormat="false" ht="15" hidden="false" customHeight="false" outlineLevel="0" collapsed="false">
      <c r="AH256" s="21" t="n">
        <f aca="false">IF($AG$4=0,0,IF($AG$6=0,0,IF(INDEX($A256:$AD256,$AG$4)="",0,IF(INDEX($A256:$AD256,$AG$6)&lt;&gt;"NON-COMPLIED",0,IF(COUNTIFS(INDEX($A$3:$AD$256,0,$AG$4),INDEX($A256:$AD256,$AG$4),INDEX($A$3:$AD$256,0,$AG$6),"NON-COMPLIED")=1,1,0)))))</f>
        <v>0</v>
      </c>
    </row>
    <row r="257" customFormat="false" ht="15" hidden="false" customHeight="false" outlineLevel="0" collapsed="false">
      <c r="AH257" s="21" t="n">
        <f aca="false">IF($AG$4=0,0,IF($AG$6=0,0,IF(INDEX($A257:$AD257,$AG$4)="",0,IF(INDEX($A257:$AD257,$AG$6)&lt;&gt;"NON-COMPLIED",0,IF(COUNTIFS(INDEX($A$3:$AD$257,0,$AG$4),INDEX($A257:$AD257,$AG$4),INDEX($A$3:$AD$257,0,$AG$6),"NON-COMPLIED")=1,1,0)))))</f>
        <v>0</v>
      </c>
    </row>
    <row r="258" customFormat="false" ht="15" hidden="false" customHeight="false" outlineLevel="0" collapsed="false">
      <c r="AH258" s="21" t="n">
        <f aca="false">IF($AG$4=0,0,IF($AG$6=0,0,IF(INDEX($A258:$AD258,$AG$4)="",0,IF(INDEX($A258:$AD258,$AG$6)&lt;&gt;"NON-COMPLIED",0,IF(COUNTIFS(INDEX($A$3:$AD$258,0,$AG$4),INDEX($A258:$AD258,$AG$4),INDEX($A$3:$AD$258,0,$AG$6),"NON-COMPLIED")=1,1,0)))))</f>
        <v>0</v>
      </c>
    </row>
    <row r="259" customFormat="false" ht="15" hidden="false" customHeight="false" outlineLevel="0" collapsed="false">
      <c r="AH259" s="21" t="n">
        <f aca="false">IF($AG$4=0,0,IF($AG$6=0,0,IF(INDEX($A259:$AD259,$AG$4)="",0,IF(INDEX($A259:$AD259,$AG$6)&lt;&gt;"NON-COMPLIED",0,IF(COUNTIFS(INDEX($A$3:$AD$259,0,$AG$4),INDEX($A259:$AD259,$AG$4),INDEX($A$3:$AD$259,0,$AG$6),"NON-COMPLIED")=1,1,0)))))</f>
        <v>0</v>
      </c>
    </row>
    <row r="260" customFormat="false" ht="15" hidden="false" customHeight="false" outlineLevel="0" collapsed="false">
      <c r="AH260" s="21" t="n">
        <f aca="false">IF($AG$4=0,0,IF($AG$6=0,0,IF(INDEX($A260:$AD260,$AG$4)="",0,IF(INDEX($A260:$AD260,$AG$6)&lt;&gt;"NON-COMPLIED",0,IF(COUNTIFS(INDEX($A$3:$AD$260,0,$AG$4),INDEX($A260:$AD260,$AG$4),INDEX($A$3:$AD$260,0,$AG$6),"NON-COMPLIED")=1,1,0)))))</f>
        <v>0</v>
      </c>
    </row>
    <row r="261" customFormat="false" ht="15" hidden="false" customHeight="false" outlineLevel="0" collapsed="false">
      <c r="AH261" s="21" t="n">
        <f aca="false">IF($AG$4=0,0,IF($AG$6=0,0,IF(INDEX($A261:$AD261,$AG$4)="",0,IF(INDEX($A261:$AD261,$AG$6)&lt;&gt;"NON-COMPLIED",0,IF(COUNTIFS(INDEX($A$3:$AD$261,0,$AG$4),INDEX($A261:$AD261,$AG$4),INDEX($A$3:$AD$261,0,$AG$6),"NON-COMPLIED")=1,1,0)))))</f>
        <v>0</v>
      </c>
    </row>
    <row r="262" customFormat="false" ht="15" hidden="false" customHeight="false" outlineLevel="0" collapsed="false">
      <c r="AH262" s="21" t="n">
        <f aca="false">IF($AG$4=0,0,IF($AG$6=0,0,IF(INDEX($A262:$AD262,$AG$4)="",0,IF(INDEX($A262:$AD262,$AG$6)&lt;&gt;"NON-COMPLIED",0,IF(COUNTIFS(INDEX($A$3:$AD$262,0,$AG$4),INDEX($A262:$AD262,$AG$4),INDEX($A$3:$AD$262,0,$AG$6),"NON-COMPLIED")=1,1,0)))))</f>
        <v>0</v>
      </c>
    </row>
    <row r="263" customFormat="false" ht="15" hidden="false" customHeight="false" outlineLevel="0" collapsed="false">
      <c r="AH263" s="21" t="n">
        <f aca="false">IF($AG$4=0,0,IF($AG$6=0,0,IF(INDEX($A263:$AD263,$AG$4)="",0,IF(INDEX($A263:$AD263,$AG$6)&lt;&gt;"NON-COMPLIED",0,IF(COUNTIFS(INDEX($A$3:$AD$263,0,$AG$4),INDEX($A263:$AD263,$AG$4),INDEX($A$3:$AD$263,0,$AG$6),"NON-COMPLIED")=1,1,0)))))</f>
        <v>0</v>
      </c>
    </row>
    <row r="264" customFormat="false" ht="15" hidden="false" customHeight="false" outlineLevel="0" collapsed="false">
      <c r="AH264" s="21" t="n">
        <f aca="false">IF($AG$4=0,0,IF($AG$6=0,0,IF(INDEX($A264:$AD264,$AG$4)="",0,IF(INDEX($A264:$AD264,$AG$6)&lt;&gt;"NON-COMPLIED",0,IF(COUNTIFS(INDEX($A$3:$AD$264,0,$AG$4),INDEX($A264:$AD264,$AG$4),INDEX($A$3:$AD$264,0,$AG$6),"NON-COMPLIED")=1,1,0)))))</f>
        <v>0</v>
      </c>
    </row>
    <row r="265" customFormat="false" ht="15" hidden="false" customHeight="false" outlineLevel="0" collapsed="false">
      <c r="AH265" s="21" t="n">
        <f aca="false">IF($AG$4=0,0,IF($AG$6=0,0,IF(INDEX($A265:$AD265,$AG$4)="",0,IF(INDEX($A265:$AD265,$AG$6)&lt;&gt;"NON-COMPLIED",0,IF(COUNTIFS(INDEX($A$3:$AD$265,0,$AG$4),INDEX($A265:$AD265,$AG$4),INDEX($A$3:$AD$265,0,$AG$6),"NON-COMPLIED")=1,1,0)))))</f>
        <v>0</v>
      </c>
    </row>
    <row r="266" customFormat="false" ht="15" hidden="false" customHeight="false" outlineLevel="0" collapsed="false">
      <c r="AH266" s="21" t="n">
        <f aca="false">IF($AG$4=0,0,IF($AG$6=0,0,IF(INDEX($A266:$AD266,$AG$4)="",0,IF(INDEX($A266:$AD266,$AG$6)&lt;&gt;"NON-COMPLIED",0,IF(COUNTIFS(INDEX($A$3:$AD$266,0,$AG$4),INDEX($A266:$AD266,$AG$4),INDEX($A$3:$AD$266,0,$AG$6),"NON-COMPLIED")=1,1,0)))))</f>
        <v>0</v>
      </c>
    </row>
    <row r="267" customFormat="false" ht="15" hidden="false" customHeight="false" outlineLevel="0" collapsed="false">
      <c r="AH267" s="21" t="n">
        <f aca="false">IF($AG$4=0,0,IF($AG$6=0,0,IF(INDEX($A267:$AD267,$AG$4)="",0,IF(INDEX($A267:$AD267,$AG$6)&lt;&gt;"NON-COMPLIED",0,IF(COUNTIFS(INDEX($A$3:$AD$267,0,$AG$4),INDEX($A267:$AD267,$AG$4),INDEX($A$3:$AD$267,0,$AG$6),"NON-COMPLIED")=1,1,0)))))</f>
        <v>0</v>
      </c>
    </row>
    <row r="268" customFormat="false" ht="15" hidden="false" customHeight="false" outlineLevel="0" collapsed="false">
      <c r="AH268" s="21" t="n">
        <f aca="false">IF($AG$4=0,0,IF($AG$6=0,0,IF(INDEX($A268:$AD268,$AG$4)="",0,IF(INDEX($A268:$AD268,$AG$6)&lt;&gt;"NON-COMPLIED",0,IF(COUNTIFS(INDEX($A$3:$AD$268,0,$AG$4),INDEX($A268:$AD268,$AG$4),INDEX($A$3:$AD$268,0,$AG$6),"NON-COMPLIED")=1,1,0)))))</f>
        <v>0</v>
      </c>
    </row>
    <row r="269" customFormat="false" ht="15" hidden="false" customHeight="false" outlineLevel="0" collapsed="false">
      <c r="AH269" s="21" t="n">
        <f aca="false">IF($AG$4=0,0,IF($AG$6=0,0,IF(INDEX($A269:$AD269,$AG$4)="",0,IF(INDEX($A269:$AD269,$AG$6)&lt;&gt;"NON-COMPLIED",0,IF(COUNTIFS(INDEX($A$3:$AD$269,0,$AG$4),INDEX($A269:$AD269,$AG$4),INDEX($A$3:$AD$269,0,$AG$6),"NON-COMPLIED")=1,1,0)))))</f>
        <v>0</v>
      </c>
    </row>
    <row r="270" customFormat="false" ht="15" hidden="false" customHeight="false" outlineLevel="0" collapsed="false">
      <c r="AH270" s="21" t="n">
        <f aca="false">IF($AG$4=0,0,IF($AG$6=0,0,IF(INDEX($A270:$AD270,$AG$4)="",0,IF(INDEX($A270:$AD270,$AG$6)&lt;&gt;"NON-COMPLIED",0,IF(COUNTIFS(INDEX($A$3:$AD$270,0,$AG$4),INDEX($A270:$AD270,$AG$4),INDEX($A$3:$AD$270,0,$AG$6),"NON-COMPLIED")=1,1,0)))))</f>
        <v>0</v>
      </c>
    </row>
    <row r="271" customFormat="false" ht="15" hidden="false" customHeight="false" outlineLevel="0" collapsed="false">
      <c r="AH271" s="21" t="n">
        <f aca="false">IF($AG$4=0,0,IF($AG$6=0,0,IF(INDEX($A271:$AD271,$AG$4)="",0,IF(INDEX($A271:$AD271,$AG$6)&lt;&gt;"NON-COMPLIED",0,IF(COUNTIFS(INDEX($A$3:$AD$271,0,$AG$4),INDEX($A271:$AD271,$AG$4),INDEX($A$3:$AD$271,0,$AG$6),"NON-COMPLIED")=1,1,0)))))</f>
        <v>0</v>
      </c>
    </row>
    <row r="272" customFormat="false" ht="15" hidden="false" customHeight="false" outlineLevel="0" collapsed="false">
      <c r="AH272" s="21" t="n">
        <f aca="false">IF($AG$4=0,0,IF($AG$6=0,0,IF(INDEX($A272:$AD272,$AG$4)="",0,IF(INDEX($A272:$AD272,$AG$6)&lt;&gt;"NON-COMPLIED",0,IF(COUNTIFS(INDEX($A$3:$AD$272,0,$AG$4),INDEX($A272:$AD272,$AG$4),INDEX($A$3:$AD$272,0,$AG$6),"NON-COMPLIED")=1,1,0)))))</f>
        <v>0</v>
      </c>
    </row>
    <row r="273" customFormat="false" ht="15" hidden="false" customHeight="false" outlineLevel="0" collapsed="false">
      <c r="AH273" s="21" t="n">
        <f aca="false">IF($AG$4=0,0,IF($AG$6=0,0,IF(INDEX($A273:$AD273,$AG$4)="",0,IF(INDEX($A273:$AD273,$AG$6)&lt;&gt;"NON-COMPLIED",0,IF(COUNTIFS(INDEX($A$3:$AD$273,0,$AG$4),INDEX($A273:$AD273,$AG$4),INDEX($A$3:$AD$273,0,$AG$6),"NON-COMPLIED")=1,1,0)))))</f>
        <v>0</v>
      </c>
    </row>
    <row r="274" customFormat="false" ht="15" hidden="false" customHeight="false" outlineLevel="0" collapsed="false">
      <c r="AH274" s="21" t="n">
        <f aca="false">IF($AG$4=0,0,IF($AG$6=0,0,IF(INDEX($A274:$AD274,$AG$4)="",0,IF(INDEX($A274:$AD274,$AG$6)&lt;&gt;"NON-COMPLIED",0,IF(COUNTIFS(INDEX($A$3:$AD$274,0,$AG$4),INDEX($A274:$AD274,$AG$4),INDEX($A$3:$AD$274,0,$AG$6),"NON-COMPLIED")=1,1,0)))))</f>
        <v>0</v>
      </c>
    </row>
    <row r="275" customFormat="false" ht="15" hidden="false" customHeight="false" outlineLevel="0" collapsed="false">
      <c r="AH275" s="21" t="n">
        <f aca="false">IF($AG$4=0,0,IF($AG$6=0,0,IF(INDEX($A275:$AD275,$AG$4)="",0,IF(INDEX($A275:$AD275,$AG$6)&lt;&gt;"NON-COMPLIED",0,IF(COUNTIFS(INDEX($A$3:$AD$275,0,$AG$4),INDEX($A275:$AD275,$AG$4),INDEX($A$3:$AD$275,0,$AG$6),"NON-COMPLIED")=1,1,0)))))</f>
        <v>0</v>
      </c>
    </row>
    <row r="276" customFormat="false" ht="15" hidden="false" customHeight="false" outlineLevel="0" collapsed="false">
      <c r="AH276" s="21" t="n">
        <f aca="false">IF($AG$4=0,0,IF($AG$6=0,0,IF(INDEX($A276:$AD276,$AG$4)="",0,IF(INDEX($A276:$AD276,$AG$6)&lt;&gt;"NON-COMPLIED",0,IF(COUNTIFS(INDEX($A$3:$AD$276,0,$AG$4),INDEX($A276:$AD276,$AG$4),INDEX($A$3:$AD$276,0,$AG$6),"NON-COMPLIED")=1,1,0)))))</f>
        <v>0</v>
      </c>
    </row>
    <row r="277" customFormat="false" ht="15" hidden="false" customHeight="false" outlineLevel="0" collapsed="false">
      <c r="AH277" s="21" t="n">
        <f aca="false">IF($AG$4=0,0,IF($AG$6=0,0,IF(INDEX($A277:$AD277,$AG$4)="",0,IF(INDEX($A277:$AD277,$AG$6)&lt;&gt;"NON-COMPLIED",0,IF(COUNTIFS(INDEX($A$3:$AD$277,0,$AG$4),INDEX($A277:$AD277,$AG$4),INDEX($A$3:$AD$277,0,$AG$6),"NON-COMPLIED")=1,1,0)))))</f>
        <v>0</v>
      </c>
    </row>
    <row r="278" customFormat="false" ht="15" hidden="false" customHeight="false" outlineLevel="0" collapsed="false">
      <c r="AH278" s="21" t="n">
        <f aca="false">IF($AG$4=0,0,IF($AG$6=0,0,IF(INDEX($A278:$AD278,$AG$4)="",0,IF(INDEX($A278:$AD278,$AG$6)&lt;&gt;"NON-COMPLIED",0,IF(COUNTIFS(INDEX($A$3:$AD$278,0,$AG$4),INDEX($A278:$AD278,$AG$4),INDEX($A$3:$AD$278,0,$AG$6),"NON-COMPLIED")=1,1,0)))))</f>
        <v>0</v>
      </c>
    </row>
    <row r="279" customFormat="false" ht="15" hidden="false" customHeight="false" outlineLevel="0" collapsed="false">
      <c r="AH279" s="21" t="n">
        <f aca="false">IF($AG$4=0,0,IF($AG$6=0,0,IF(INDEX($A279:$AD279,$AG$4)="",0,IF(INDEX($A279:$AD279,$AG$6)&lt;&gt;"NON-COMPLIED",0,IF(COUNTIFS(INDEX($A$3:$AD$279,0,$AG$4),INDEX($A279:$AD279,$AG$4),INDEX($A$3:$AD$279,0,$AG$6),"NON-COMPLIED")=1,1,0)))))</f>
        <v>0</v>
      </c>
    </row>
    <row r="280" customFormat="false" ht="15" hidden="false" customHeight="false" outlineLevel="0" collapsed="false">
      <c r="AH280" s="21" t="n">
        <f aca="false">IF($AG$4=0,0,IF($AG$6=0,0,IF(INDEX($A280:$AD280,$AG$4)="",0,IF(INDEX($A280:$AD280,$AG$6)&lt;&gt;"NON-COMPLIED",0,IF(COUNTIFS(INDEX($A$3:$AD$280,0,$AG$4),INDEX($A280:$AD280,$AG$4),INDEX($A$3:$AD$280,0,$AG$6),"NON-COMPLIED")=1,1,0)))))</f>
        <v>0</v>
      </c>
    </row>
    <row r="281" customFormat="false" ht="15" hidden="false" customHeight="false" outlineLevel="0" collapsed="false">
      <c r="AH281" s="21" t="n">
        <f aca="false">IF($AG$4=0,0,IF($AG$6=0,0,IF(INDEX($A281:$AD281,$AG$4)="",0,IF(INDEX($A281:$AD281,$AG$6)&lt;&gt;"NON-COMPLIED",0,IF(COUNTIFS(INDEX($A$3:$AD$281,0,$AG$4),INDEX($A281:$AD281,$AG$4),INDEX($A$3:$AD$281,0,$AG$6),"NON-COMPLIED")=1,1,0)))))</f>
        <v>0</v>
      </c>
    </row>
    <row r="282" customFormat="false" ht="15" hidden="false" customHeight="false" outlineLevel="0" collapsed="false">
      <c r="AH282" s="21" t="n">
        <f aca="false">IF($AG$4=0,0,IF($AG$6=0,0,IF(INDEX($A282:$AD282,$AG$4)="",0,IF(INDEX($A282:$AD282,$AG$6)&lt;&gt;"NON-COMPLIED",0,IF(COUNTIFS(INDEX($A$3:$AD$282,0,$AG$4),INDEX($A282:$AD282,$AG$4),INDEX($A$3:$AD$282,0,$AG$6),"NON-COMPLIED")=1,1,0)))))</f>
        <v>0</v>
      </c>
    </row>
    <row r="283" customFormat="false" ht="15" hidden="false" customHeight="false" outlineLevel="0" collapsed="false">
      <c r="AH283" s="21" t="n">
        <f aca="false">IF($AG$4=0,0,IF($AG$6=0,0,IF(INDEX($A283:$AD283,$AG$4)="",0,IF(INDEX($A283:$AD283,$AG$6)&lt;&gt;"NON-COMPLIED",0,IF(COUNTIFS(INDEX($A$3:$AD$283,0,$AG$4),INDEX($A283:$AD283,$AG$4),INDEX($A$3:$AD$283,0,$AG$6),"NON-COMPLIED")=1,1,0)))))</f>
        <v>0</v>
      </c>
    </row>
    <row r="284" customFormat="false" ht="15" hidden="false" customHeight="false" outlineLevel="0" collapsed="false">
      <c r="AH284" s="21" t="n">
        <f aca="false">IF($AG$4=0,0,IF($AG$6=0,0,IF(INDEX($A284:$AD284,$AG$4)="",0,IF(INDEX($A284:$AD284,$AG$6)&lt;&gt;"NON-COMPLIED",0,IF(COUNTIFS(INDEX($A$3:$AD$284,0,$AG$4),INDEX($A284:$AD284,$AG$4),INDEX($A$3:$AD$284,0,$AG$6),"NON-COMPLIED")=1,1,0)))))</f>
        <v>0</v>
      </c>
    </row>
    <row r="285" customFormat="false" ht="15" hidden="false" customHeight="false" outlineLevel="0" collapsed="false">
      <c r="AH285" s="21" t="n">
        <f aca="false">IF($AG$4=0,0,IF($AG$6=0,0,IF(INDEX($A285:$AD285,$AG$4)="",0,IF(INDEX($A285:$AD285,$AG$6)&lt;&gt;"NON-COMPLIED",0,IF(COUNTIFS(INDEX($A$3:$AD$285,0,$AG$4),INDEX($A285:$AD285,$AG$4),INDEX($A$3:$AD$285,0,$AG$6),"NON-COMPLIED")=1,1,0)))))</f>
        <v>0</v>
      </c>
    </row>
    <row r="286" customFormat="false" ht="15" hidden="false" customHeight="false" outlineLevel="0" collapsed="false">
      <c r="AH286" s="21" t="n">
        <f aca="false">IF($AG$4=0,0,IF($AG$6=0,0,IF(INDEX($A286:$AD286,$AG$4)="",0,IF(INDEX($A286:$AD286,$AG$6)&lt;&gt;"NON-COMPLIED",0,IF(COUNTIFS(INDEX($A$3:$AD$286,0,$AG$4),INDEX($A286:$AD286,$AG$4),INDEX($A$3:$AD$286,0,$AG$6),"NON-COMPLIED")=1,1,0)))))</f>
        <v>0</v>
      </c>
    </row>
    <row r="287" customFormat="false" ht="15" hidden="false" customHeight="false" outlineLevel="0" collapsed="false">
      <c r="AH287" s="21" t="n">
        <f aca="false">IF($AG$4=0,0,IF($AG$6=0,0,IF(INDEX($A287:$AD287,$AG$4)="",0,IF(INDEX($A287:$AD287,$AG$6)&lt;&gt;"NON-COMPLIED",0,IF(COUNTIFS(INDEX($A$3:$AD$287,0,$AG$4),INDEX($A287:$AD287,$AG$4),INDEX($A$3:$AD$287,0,$AG$6),"NON-COMPLIED")=1,1,0)))))</f>
        <v>0</v>
      </c>
    </row>
    <row r="288" customFormat="false" ht="15" hidden="false" customHeight="false" outlineLevel="0" collapsed="false">
      <c r="AH288" s="21" t="n">
        <f aca="false">IF($AG$4=0,0,IF($AG$6=0,0,IF(INDEX($A288:$AD288,$AG$4)="",0,IF(INDEX($A288:$AD288,$AG$6)&lt;&gt;"NON-COMPLIED",0,IF(COUNTIFS(INDEX($A$3:$AD$288,0,$AG$4),INDEX($A288:$AD288,$AG$4),INDEX($A$3:$AD$288,0,$AG$6),"NON-COMPLIED")=1,1,0)))))</f>
        <v>0</v>
      </c>
    </row>
    <row r="289" customFormat="false" ht="15" hidden="false" customHeight="false" outlineLevel="0" collapsed="false">
      <c r="AH289" s="21" t="n">
        <f aca="false">IF($AG$4=0,0,IF($AG$6=0,0,IF(INDEX($A289:$AD289,$AG$4)="",0,IF(INDEX($A289:$AD289,$AG$6)&lt;&gt;"NON-COMPLIED",0,IF(COUNTIFS(INDEX($A$3:$AD$289,0,$AG$4),INDEX($A289:$AD289,$AG$4),INDEX($A$3:$AD$289,0,$AG$6),"NON-COMPLIED")=1,1,0)))))</f>
        <v>0</v>
      </c>
    </row>
    <row r="290" customFormat="false" ht="15" hidden="false" customHeight="false" outlineLevel="0" collapsed="false">
      <c r="AH290" s="21" t="n">
        <f aca="false">IF($AG$4=0,0,IF($AG$6=0,0,IF(INDEX($A290:$AD290,$AG$4)="",0,IF(INDEX($A290:$AD290,$AG$6)&lt;&gt;"NON-COMPLIED",0,IF(COUNTIFS(INDEX($A$3:$AD$290,0,$AG$4),INDEX($A290:$AD290,$AG$4),INDEX($A$3:$AD$290,0,$AG$6),"NON-COMPLIED")=1,1,0)))))</f>
        <v>0</v>
      </c>
    </row>
    <row r="291" customFormat="false" ht="15" hidden="false" customHeight="false" outlineLevel="0" collapsed="false">
      <c r="AH291" s="21" t="n">
        <f aca="false">IF($AG$4=0,0,IF($AG$6=0,0,IF(INDEX($A291:$AD291,$AG$4)="",0,IF(INDEX($A291:$AD291,$AG$6)&lt;&gt;"NON-COMPLIED",0,IF(COUNTIFS(INDEX($A$3:$AD$291,0,$AG$4),INDEX($A291:$AD291,$AG$4),INDEX($A$3:$AD$291,0,$AG$6),"NON-COMPLIED")=1,1,0)))))</f>
        <v>0</v>
      </c>
    </row>
    <row r="292" customFormat="false" ht="15" hidden="false" customHeight="false" outlineLevel="0" collapsed="false">
      <c r="AH292" s="21" t="n">
        <f aca="false">IF($AG$4=0,0,IF($AG$6=0,0,IF(INDEX($A292:$AD292,$AG$4)="",0,IF(INDEX($A292:$AD292,$AG$6)&lt;&gt;"NON-COMPLIED",0,IF(COUNTIFS(INDEX($A$3:$AD$292,0,$AG$4),INDEX($A292:$AD292,$AG$4),INDEX($A$3:$AD$292,0,$AG$6),"NON-COMPLIED")=1,1,0)))))</f>
        <v>0</v>
      </c>
    </row>
    <row r="293" customFormat="false" ht="15" hidden="false" customHeight="false" outlineLevel="0" collapsed="false">
      <c r="AH293" s="21" t="n">
        <f aca="false">IF($AG$4=0,0,IF($AG$6=0,0,IF(INDEX($A293:$AD293,$AG$4)="",0,IF(INDEX($A293:$AD293,$AG$6)&lt;&gt;"NON-COMPLIED",0,IF(COUNTIFS(INDEX($A$3:$AD$293,0,$AG$4),INDEX($A293:$AD293,$AG$4),INDEX($A$3:$AD$293,0,$AG$6),"NON-COMPLIED")=1,1,0)))))</f>
        <v>0</v>
      </c>
    </row>
    <row r="294" customFormat="false" ht="15" hidden="false" customHeight="false" outlineLevel="0" collapsed="false">
      <c r="AH294" s="21" t="n">
        <f aca="false">IF($AG$4=0,0,IF($AG$6=0,0,IF(INDEX($A294:$AD294,$AG$4)="",0,IF(INDEX($A294:$AD294,$AG$6)&lt;&gt;"NON-COMPLIED",0,IF(COUNTIFS(INDEX($A$3:$AD$294,0,$AG$4),INDEX($A294:$AD294,$AG$4),INDEX($A$3:$AD$294,0,$AG$6),"NON-COMPLIED")=1,1,0)))))</f>
        <v>0</v>
      </c>
    </row>
    <row r="295" customFormat="false" ht="15" hidden="false" customHeight="false" outlineLevel="0" collapsed="false">
      <c r="AH295" s="21" t="n">
        <f aca="false">IF($AG$4=0,0,IF($AG$6=0,0,IF(INDEX($A295:$AD295,$AG$4)="",0,IF(INDEX($A295:$AD295,$AG$6)&lt;&gt;"NON-COMPLIED",0,IF(COUNTIFS(INDEX($A$3:$AD$295,0,$AG$4),INDEX($A295:$AD295,$AG$4),INDEX($A$3:$AD$295,0,$AG$6),"NON-COMPLIED")=1,1,0)))))</f>
        <v>0</v>
      </c>
    </row>
    <row r="296" customFormat="false" ht="15" hidden="false" customHeight="false" outlineLevel="0" collapsed="false">
      <c r="AH296" s="21" t="n">
        <f aca="false">IF($AG$4=0,0,IF($AG$6=0,0,IF(INDEX($A296:$AD296,$AG$4)="",0,IF(INDEX($A296:$AD296,$AG$6)&lt;&gt;"NON-COMPLIED",0,IF(COUNTIFS(INDEX($A$3:$AD$296,0,$AG$4),INDEX($A296:$AD296,$AG$4),INDEX($A$3:$AD$296,0,$AG$6),"NON-COMPLIED")=1,1,0)))))</f>
        <v>0</v>
      </c>
    </row>
    <row r="297" customFormat="false" ht="15" hidden="false" customHeight="false" outlineLevel="0" collapsed="false">
      <c r="AH297" s="21" t="n">
        <f aca="false">IF($AG$4=0,0,IF($AG$6=0,0,IF(INDEX($A297:$AD297,$AG$4)="",0,IF(INDEX($A297:$AD297,$AG$6)&lt;&gt;"NON-COMPLIED",0,IF(COUNTIFS(INDEX($A$3:$AD$297,0,$AG$4),INDEX($A297:$AD297,$AG$4),INDEX($A$3:$AD$297,0,$AG$6),"NON-COMPLIED")=1,1,0)))))</f>
        <v>0</v>
      </c>
    </row>
    <row r="298" customFormat="false" ht="15" hidden="false" customHeight="false" outlineLevel="0" collapsed="false">
      <c r="AH298" s="21" t="n">
        <f aca="false">IF($AG$4=0,0,IF($AG$6=0,0,IF(INDEX($A298:$AD298,$AG$4)="",0,IF(INDEX($A298:$AD298,$AG$6)&lt;&gt;"NON-COMPLIED",0,IF(COUNTIFS(INDEX($A$3:$AD$298,0,$AG$4),INDEX($A298:$AD298,$AG$4),INDEX($A$3:$AD$298,0,$AG$6),"NON-COMPLIED")=1,1,0)))))</f>
        <v>0</v>
      </c>
    </row>
    <row r="299" customFormat="false" ht="15" hidden="false" customHeight="false" outlineLevel="0" collapsed="false">
      <c r="AH299" s="21" t="n">
        <f aca="false">IF($AG$4=0,0,IF($AG$6=0,0,IF(INDEX($A299:$AD299,$AG$4)="",0,IF(INDEX($A299:$AD299,$AG$6)&lt;&gt;"NON-COMPLIED",0,IF(COUNTIFS(INDEX($A$3:$AD$299,0,$AG$4),INDEX($A299:$AD299,$AG$4),INDEX($A$3:$AD$299,0,$AG$6),"NON-COMPLIED")=1,1,0)))))</f>
        <v>0</v>
      </c>
    </row>
    <row r="300" customFormat="false" ht="15" hidden="false" customHeight="false" outlineLevel="0" collapsed="false">
      <c r="AH300" s="21" t="n">
        <f aca="false">IF($AG$4=0,0,IF($AG$6=0,0,IF(INDEX($A300:$AD300,$AG$4)="",0,IF(INDEX($A300:$AD300,$AG$6)&lt;&gt;"NON-COMPLIED",0,IF(COUNTIFS(INDEX($A$3:$AD$300,0,$AG$4),INDEX($A300:$AD300,$AG$4),INDEX($A$3:$AD$300,0,$AG$6),"NON-COMPLIED")=1,1,0)))))</f>
        <v>0</v>
      </c>
    </row>
    <row r="301" customFormat="false" ht="15" hidden="false" customHeight="false" outlineLevel="0" collapsed="false">
      <c r="AH301" s="21" t="n">
        <f aca="false">IF($AG$4=0,0,IF($AG$6=0,0,IF(INDEX($A301:$AD301,$AG$4)="",0,IF(INDEX($A301:$AD301,$AG$6)&lt;&gt;"NON-COMPLIED",0,IF(COUNTIFS(INDEX($A$3:$AD$301,0,$AG$4),INDEX($A301:$AD301,$AG$4),INDEX($A$3:$AD$301,0,$AG$6),"NON-COMPLIED")=1,1,0)))))</f>
        <v>0</v>
      </c>
    </row>
    <row r="302" customFormat="false" ht="15" hidden="false" customHeight="false" outlineLevel="0" collapsed="false">
      <c r="AH302" s="21" t="n">
        <f aca="false">IF($AG$4=0,0,IF($AG$6=0,0,IF(INDEX($A302:$AD302,$AG$4)="",0,IF(INDEX($A302:$AD302,$AG$6)&lt;&gt;"NON-COMPLIED",0,IF(COUNTIFS(INDEX($A$3:$AD$302,0,$AG$4),INDEX($A302:$AD302,$AG$4),INDEX($A$3:$AD$302,0,$AG$6),"NON-COMPLIED")=1,1,0)))))</f>
        <v>0</v>
      </c>
    </row>
    <row r="303" customFormat="false" ht="15" hidden="false" customHeight="false" outlineLevel="0" collapsed="false">
      <c r="AH303" s="21" t="n">
        <f aca="false">IF($AG$4=0,0,IF($AG$6=0,0,IF(INDEX($A303:$AD303,$AG$4)="",0,IF(INDEX($A303:$AD303,$AG$6)&lt;&gt;"NON-COMPLIED",0,IF(COUNTIFS(INDEX($A$3:$AD$303,0,$AG$4),INDEX($A303:$AD303,$AG$4),INDEX($A$3:$AD$303,0,$AG$6),"NON-COMPLIED")=1,1,0)))))</f>
        <v>0</v>
      </c>
    </row>
    <row r="304" customFormat="false" ht="15" hidden="false" customHeight="false" outlineLevel="0" collapsed="false">
      <c r="AH304" s="21" t="n">
        <f aca="false">IF($AG$4=0,0,IF($AG$6=0,0,IF(INDEX($A304:$AD304,$AG$4)="",0,IF(INDEX($A304:$AD304,$AG$6)&lt;&gt;"NON-COMPLIED",0,IF(COUNTIFS(INDEX($A$3:$AD$304,0,$AG$4),INDEX($A304:$AD304,$AG$4),INDEX($A$3:$AD$304,0,$AG$6),"NON-COMPLIED")=1,1,0)))))</f>
        <v>0</v>
      </c>
    </row>
    <row r="305" customFormat="false" ht="15" hidden="false" customHeight="false" outlineLevel="0" collapsed="false">
      <c r="AH305" s="21" t="n">
        <f aca="false">IF($AG$4=0,0,IF($AG$6=0,0,IF(INDEX($A305:$AD305,$AG$4)="",0,IF(INDEX($A305:$AD305,$AG$6)&lt;&gt;"NON-COMPLIED",0,IF(COUNTIFS(INDEX($A$3:$AD$305,0,$AG$4),INDEX($A305:$AD305,$AG$4),INDEX($A$3:$AD$305,0,$AG$6),"NON-COMPLIED")=1,1,0)))))</f>
        <v>0</v>
      </c>
    </row>
    <row r="306" customFormat="false" ht="15" hidden="false" customHeight="false" outlineLevel="0" collapsed="false">
      <c r="AH306" s="21" t="n">
        <f aca="false">IF($AG$4=0,0,IF($AG$6=0,0,IF(INDEX($A306:$AD306,$AG$4)="",0,IF(INDEX($A306:$AD306,$AG$6)&lt;&gt;"NON-COMPLIED",0,IF(COUNTIFS(INDEX($A$3:$AD$306,0,$AG$4),INDEX($A306:$AD306,$AG$4),INDEX($A$3:$AD$306,0,$AG$6),"NON-COMPLIED")=1,1,0)))))</f>
        <v>0</v>
      </c>
    </row>
    <row r="307" customFormat="false" ht="15" hidden="false" customHeight="false" outlineLevel="0" collapsed="false">
      <c r="AH307" s="21" t="n">
        <f aca="false">IF($AG$4=0,0,IF($AG$6=0,0,IF(INDEX($A307:$AD307,$AG$4)="",0,IF(INDEX($A307:$AD307,$AG$6)&lt;&gt;"NON-COMPLIED",0,IF(COUNTIFS(INDEX($A$3:$AD$307,0,$AG$4),INDEX($A307:$AD307,$AG$4),INDEX($A$3:$AD$307,0,$AG$6),"NON-COMPLIED")=1,1,0)))))</f>
        <v>0</v>
      </c>
    </row>
    <row r="308" customFormat="false" ht="15" hidden="false" customHeight="false" outlineLevel="0" collapsed="false">
      <c r="AH308" s="21" t="n">
        <f aca="false">IF($AG$4=0,0,IF($AG$6=0,0,IF(INDEX($A308:$AD308,$AG$4)="",0,IF(INDEX($A308:$AD308,$AG$6)&lt;&gt;"NON-COMPLIED",0,IF(COUNTIFS(INDEX($A$3:$AD$308,0,$AG$4),INDEX($A308:$AD308,$AG$4),INDEX($A$3:$AD$308,0,$AG$6),"NON-COMPLIED")=1,1,0)))))</f>
        <v>0</v>
      </c>
    </row>
    <row r="309" customFormat="false" ht="15" hidden="false" customHeight="false" outlineLevel="0" collapsed="false">
      <c r="AH309" s="21" t="n">
        <f aca="false">IF($AG$4=0,0,IF($AG$6=0,0,IF(INDEX($A309:$AD309,$AG$4)="",0,IF(INDEX($A309:$AD309,$AG$6)&lt;&gt;"NON-COMPLIED",0,IF(COUNTIFS(INDEX($A$3:$AD$309,0,$AG$4),INDEX($A309:$AD309,$AG$4),INDEX($A$3:$AD$309,0,$AG$6),"NON-COMPLIED")=1,1,0)))))</f>
        <v>0</v>
      </c>
    </row>
    <row r="310" customFormat="false" ht="15" hidden="false" customHeight="false" outlineLevel="0" collapsed="false">
      <c r="AH310" s="21" t="n">
        <f aca="false">IF($AG$4=0,0,IF($AG$6=0,0,IF(INDEX($A310:$AD310,$AG$4)="",0,IF(INDEX($A310:$AD310,$AG$6)&lt;&gt;"NON-COMPLIED",0,IF(COUNTIFS(INDEX($A$3:$AD$310,0,$AG$4),INDEX($A310:$AD310,$AG$4),INDEX($A$3:$AD$310,0,$AG$6),"NON-COMPLIED")=1,1,0)))))</f>
        <v>0</v>
      </c>
    </row>
    <row r="311" customFormat="false" ht="15" hidden="false" customHeight="false" outlineLevel="0" collapsed="false">
      <c r="AH311" s="21" t="n">
        <f aca="false">IF($AG$4=0,0,IF($AG$6=0,0,IF(INDEX($A311:$AD311,$AG$4)="",0,IF(INDEX($A311:$AD311,$AG$6)&lt;&gt;"NON-COMPLIED",0,IF(COUNTIFS(INDEX($A$3:$AD$311,0,$AG$4),INDEX($A311:$AD311,$AG$4),INDEX($A$3:$AD$311,0,$AG$6),"NON-COMPLIED")=1,1,0)))))</f>
        <v>0</v>
      </c>
    </row>
    <row r="312" customFormat="false" ht="15" hidden="false" customHeight="false" outlineLevel="0" collapsed="false">
      <c r="AH312" s="21" t="n">
        <f aca="false">IF($AG$4=0,0,IF($AG$6=0,0,IF(INDEX($A312:$AD312,$AG$4)="",0,IF(INDEX($A312:$AD312,$AG$6)&lt;&gt;"NON-COMPLIED",0,IF(COUNTIFS(INDEX($A$3:$AD$312,0,$AG$4),INDEX($A312:$AD312,$AG$4),INDEX($A$3:$AD$312,0,$AG$6),"NON-COMPLIED")=1,1,0)))))</f>
        <v>0</v>
      </c>
    </row>
    <row r="313" customFormat="false" ht="15" hidden="false" customHeight="false" outlineLevel="0" collapsed="false">
      <c r="AH313" s="21" t="n">
        <f aca="false">IF($AG$4=0,0,IF($AG$6=0,0,IF(INDEX($A313:$AD313,$AG$4)="",0,IF(INDEX($A313:$AD313,$AG$6)&lt;&gt;"NON-COMPLIED",0,IF(COUNTIFS(INDEX($A$3:$AD$313,0,$AG$4),INDEX($A313:$AD313,$AG$4),INDEX($A$3:$AD$313,0,$AG$6),"NON-COMPLIED")=1,1,0)))))</f>
        <v>0</v>
      </c>
    </row>
    <row r="314" customFormat="false" ht="15" hidden="false" customHeight="false" outlineLevel="0" collapsed="false">
      <c r="AH314" s="21" t="n">
        <f aca="false">IF($AG$4=0,0,IF($AG$6=0,0,IF(INDEX($A314:$AD314,$AG$4)="",0,IF(INDEX($A314:$AD314,$AG$6)&lt;&gt;"NON-COMPLIED",0,IF(COUNTIFS(INDEX($A$3:$AD$314,0,$AG$4),INDEX($A314:$AD314,$AG$4),INDEX($A$3:$AD$314,0,$AG$6),"NON-COMPLIED")=1,1,0)))))</f>
        <v>0</v>
      </c>
    </row>
    <row r="315" customFormat="false" ht="15" hidden="false" customHeight="false" outlineLevel="0" collapsed="false">
      <c r="AH315" s="21" t="n">
        <f aca="false">IF($AG$4=0,0,IF($AG$6=0,0,IF(INDEX($A315:$AD315,$AG$4)="",0,IF(INDEX($A315:$AD315,$AG$6)&lt;&gt;"NON-COMPLIED",0,IF(COUNTIFS(INDEX($A$3:$AD$315,0,$AG$4),INDEX($A315:$AD315,$AG$4),INDEX($A$3:$AD$315,0,$AG$6),"NON-COMPLIED")=1,1,0)))))</f>
        <v>0</v>
      </c>
    </row>
    <row r="316" customFormat="false" ht="15" hidden="false" customHeight="false" outlineLevel="0" collapsed="false">
      <c r="AH316" s="21" t="n">
        <f aca="false">IF($AG$4=0,0,IF($AG$6=0,0,IF(INDEX($A316:$AD316,$AG$4)="",0,IF(INDEX($A316:$AD316,$AG$6)&lt;&gt;"NON-COMPLIED",0,IF(COUNTIFS(INDEX($A$3:$AD$316,0,$AG$4),INDEX($A316:$AD316,$AG$4),INDEX($A$3:$AD$316,0,$AG$6),"NON-COMPLIED")=1,1,0)))))</f>
        <v>0</v>
      </c>
    </row>
    <row r="317" customFormat="false" ht="15" hidden="false" customHeight="false" outlineLevel="0" collapsed="false">
      <c r="AH317" s="21" t="n">
        <f aca="false">IF($AG$4=0,0,IF($AG$6=0,0,IF(INDEX($A317:$AD317,$AG$4)="",0,IF(INDEX($A317:$AD317,$AG$6)&lt;&gt;"NON-COMPLIED",0,IF(COUNTIFS(INDEX($A$3:$AD$317,0,$AG$4),INDEX($A317:$AD317,$AG$4),INDEX($A$3:$AD$317,0,$AG$6),"NON-COMPLIED")=1,1,0)))))</f>
        <v>0</v>
      </c>
    </row>
    <row r="318" customFormat="false" ht="15" hidden="false" customHeight="false" outlineLevel="0" collapsed="false">
      <c r="AH318" s="21" t="n">
        <f aca="false">IF($AG$4=0,0,IF($AG$6=0,0,IF(INDEX($A318:$AD318,$AG$4)="",0,IF(INDEX($A318:$AD318,$AG$6)&lt;&gt;"NON-COMPLIED",0,IF(COUNTIFS(INDEX($A$3:$AD$318,0,$AG$4),INDEX($A318:$AD318,$AG$4),INDEX($A$3:$AD$318,0,$AG$6),"NON-COMPLIED")=1,1,0)))))</f>
        <v>0</v>
      </c>
    </row>
    <row r="319" customFormat="false" ht="15" hidden="false" customHeight="false" outlineLevel="0" collapsed="false">
      <c r="AH319" s="21" t="n">
        <f aca="false">IF($AG$4=0,0,IF($AG$6=0,0,IF(INDEX($A319:$AD319,$AG$4)="",0,IF(INDEX($A319:$AD319,$AG$6)&lt;&gt;"NON-COMPLIED",0,IF(COUNTIFS(INDEX($A$3:$AD$319,0,$AG$4),INDEX($A319:$AD319,$AG$4),INDEX($A$3:$AD$319,0,$AG$6),"NON-COMPLIED")=1,1,0)))))</f>
        <v>0</v>
      </c>
    </row>
    <row r="320" customFormat="false" ht="15" hidden="false" customHeight="false" outlineLevel="0" collapsed="false">
      <c r="AH320" s="21" t="n">
        <f aca="false">IF($AG$4=0,0,IF($AG$6=0,0,IF(INDEX($A320:$AD320,$AG$4)="",0,IF(INDEX($A320:$AD320,$AG$6)&lt;&gt;"NON-COMPLIED",0,IF(COUNTIFS(INDEX($A$3:$AD$320,0,$AG$4),INDEX($A320:$AD320,$AG$4),INDEX($A$3:$AD$320,0,$AG$6),"NON-COMPLIED")=1,1,0)))))</f>
        <v>0</v>
      </c>
    </row>
    <row r="321" customFormat="false" ht="15" hidden="false" customHeight="false" outlineLevel="0" collapsed="false">
      <c r="AH321" s="21" t="n">
        <f aca="false">IF($AG$4=0,0,IF($AG$6=0,0,IF(INDEX($A321:$AD321,$AG$4)="",0,IF(INDEX($A321:$AD321,$AG$6)&lt;&gt;"NON-COMPLIED",0,IF(COUNTIFS(INDEX($A$3:$AD$321,0,$AG$4),INDEX($A321:$AD321,$AG$4),INDEX($A$3:$AD$321,0,$AG$6),"NON-COMPLIED")=1,1,0)))))</f>
        <v>0</v>
      </c>
    </row>
    <row r="322" customFormat="false" ht="15" hidden="false" customHeight="false" outlineLevel="0" collapsed="false">
      <c r="AH322" s="21" t="n">
        <f aca="false">IF($AG$4=0,0,IF($AG$6=0,0,IF(INDEX($A322:$AD322,$AG$4)="",0,IF(INDEX($A322:$AD322,$AG$6)&lt;&gt;"NON-COMPLIED",0,IF(COUNTIFS(INDEX($A$3:$AD$322,0,$AG$4),INDEX($A322:$AD322,$AG$4),INDEX($A$3:$AD$322,0,$AG$6),"NON-COMPLIED")=1,1,0)))))</f>
        <v>0</v>
      </c>
    </row>
    <row r="323" customFormat="false" ht="15" hidden="false" customHeight="false" outlineLevel="0" collapsed="false">
      <c r="AH323" s="21" t="n">
        <f aca="false">IF($AG$4=0,0,IF($AG$6=0,0,IF(INDEX($A323:$AD323,$AG$4)="",0,IF(INDEX($A323:$AD323,$AG$6)&lt;&gt;"NON-COMPLIED",0,IF(COUNTIFS(INDEX($A$3:$AD$323,0,$AG$4),INDEX($A323:$AD323,$AG$4),INDEX($A$3:$AD$323,0,$AG$6),"NON-COMPLIED")=1,1,0)))))</f>
        <v>0</v>
      </c>
    </row>
    <row r="324" customFormat="false" ht="15" hidden="false" customHeight="false" outlineLevel="0" collapsed="false">
      <c r="AH324" s="21" t="n">
        <f aca="false">IF($AG$4=0,0,IF($AG$6=0,0,IF(INDEX($A324:$AD324,$AG$4)="",0,IF(INDEX($A324:$AD324,$AG$6)&lt;&gt;"NON-COMPLIED",0,IF(COUNTIFS(INDEX($A$3:$AD$324,0,$AG$4),INDEX($A324:$AD324,$AG$4),INDEX($A$3:$AD$324,0,$AG$6),"NON-COMPLIED")=1,1,0)))))</f>
        <v>0</v>
      </c>
    </row>
    <row r="325" customFormat="false" ht="15" hidden="false" customHeight="false" outlineLevel="0" collapsed="false">
      <c r="AH325" s="21" t="n">
        <f aca="false">IF($AG$4=0,0,IF($AG$6=0,0,IF(INDEX($A325:$AD325,$AG$4)="",0,IF(INDEX($A325:$AD325,$AG$6)&lt;&gt;"NON-COMPLIED",0,IF(COUNTIFS(INDEX($A$3:$AD$325,0,$AG$4),INDEX($A325:$AD325,$AG$4),INDEX($A$3:$AD$325,0,$AG$6),"NON-COMPLIED")=1,1,0)))))</f>
        <v>0</v>
      </c>
    </row>
    <row r="326" customFormat="false" ht="15" hidden="false" customHeight="false" outlineLevel="0" collapsed="false">
      <c r="AH326" s="21" t="n">
        <f aca="false">IF($AG$4=0,0,IF($AG$6=0,0,IF(INDEX($A326:$AD326,$AG$4)="",0,IF(INDEX($A326:$AD326,$AG$6)&lt;&gt;"NON-COMPLIED",0,IF(COUNTIFS(INDEX($A$3:$AD$326,0,$AG$4),INDEX($A326:$AD326,$AG$4),INDEX($A$3:$AD$326,0,$AG$6),"NON-COMPLIED")=1,1,0)))))</f>
        <v>0</v>
      </c>
    </row>
    <row r="327" customFormat="false" ht="15" hidden="false" customHeight="false" outlineLevel="0" collapsed="false">
      <c r="AH327" s="21" t="n">
        <f aca="false">IF($AG$4=0,0,IF($AG$6=0,0,IF(INDEX($A327:$AD327,$AG$4)="",0,IF(INDEX($A327:$AD327,$AG$6)&lt;&gt;"NON-COMPLIED",0,IF(COUNTIFS(INDEX($A$3:$AD$327,0,$AG$4),INDEX($A327:$AD327,$AG$4),INDEX($A$3:$AD$327,0,$AG$6),"NON-COMPLIED")=1,1,0)))))</f>
        <v>0</v>
      </c>
    </row>
    <row r="328" customFormat="false" ht="15" hidden="false" customHeight="false" outlineLevel="0" collapsed="false">
      <c r="AH328" s="21" t="n">
        <f aca="false">IF($AG$4=0,0,IF($AG$6=0,0,IF(INDEX($A328:$AD328,$AG$4)="",0,IF(INDEX($A328:$AD328,$AG$6)&lt;&gt;"NON-COMPLIED",0,IF(COUNTIFS(INDEX($A$3:$AD$328,0,$AG$4),INDEX($A328:$AD328,$AG$4),INDEX($A$3:$AD$328,0,$AG$6),"NON-COMPLIED")=1,1,0)))))</f>
        <v>0</v>
      </c>
    </row>
    <row r="329" customFormat="false" ht="15" hidden="false" customHeight="false" outlineLevel="0" collapsed="false">
      <c r="AH329" s="21" t="n">
        <f aca="false">IF($AG$4=0,0,IF($AG$6=0,0,IF(INDEX($A329:$AD329,$AG$4)="",0,IF(INDEX($A329:$AD329,$AG$6)&lt;&gt;"NON-COMPLIED",0,IF(COUNTIFS(INDEX($A$3:$AD$329,0,$AG$4),INDEX($A329:$AD329,$AG$4),INDEX($A$3:$AD$329,0,$AG$6),"NON-COMPLIED")=1,1,0)))))</f>
        <v>0</v>
      </c>
    </row>
    <row r="330" customFormat="false" ht="15" hidden="false" customHeight="false" outlineLevel="0" collapsed="false">
      <c r="AH330" s="21" t="n">
        <f aca="false">IF($AG$4=0,0,IF($AG$6=0,0,IF(INDEX($A330:$AD330,$AG$4)="",0,IF(INDEX($A330:$AD330,$AG$6)&lt;&gt;"NON-COMPLIED",0,IF(COUNTIFS(INDEX($A$3:$AD$330,0,$AG$4),INDEX($A330:$AD330,$AG$4),INDEX($A$3:$AD$330,0,$AG$6),"NON-COMPLIED")=1,1,0)))))</f>
        <v>0</v>
      </c>
    </row>
    <row r="331" customFormat="false" ht="15" hidden="false" customHeight="false" outlineLevel="0" collapsed="false">
      <c r="AH331" s="21" t="n">
        <f aca="false">IF($AG$4=0,0,IF($AG$6=0,0,IF(INDEX($A331:$AD331,$AG$4)="",0,IF(INDEX($A331:$AD331,$AG$6)&lt;&gt;"NON-COMPLIED",0,IF(COUNTIFS(INDEX($A$3:$AD$331,0,$AG$4),INDEX($A331:$AD331,$AG$4),INDEX($A$3:$AD$331,0,$AG$6),"NON-COMPLIED")=1,1,0)))))</f>
        <v>0</v>
      </c>
    </row>
    <row r="332" customFormat="false" ht="15" hidden="false" customHeight="false" outlineLevel="0" collapsed="false">
      <c r="AH332" s="21" t="n">
        <f aca="false">IF($AG$4=0,0,IF($AG$6=0,0,IF(INDEX($A332:$AD332,$AG$4)="",0,IF(INDEX($A332:$AD332,$AG$6)&lt;&gt;"NON-COMPLIED",0,IF(COUNTIFS(INDEX($A$3:$AD$332,0,$AG$4),INDEX($A332:$AD332,$AG$4),INDEX($A$3:$AD$332,0,$AG$6),"NON-COMPLIED")=1,1,0)))))</f>
        <v>0</v>
      </c>
    </row>
    <row r="333" customFormat="false" ht="15" hidden="false" customHeight="false" outlineLevel="0" collapsed="false">
      <c r="AH333" s="21" t="n">
        <f aca="false">IF($AG$4=0,0,IF($AG$6=0,0,IF(INDEX($A333:$AD333,$AG$4)="",0,IF(INDEX($A333:$AD333,$AG$6)&lt;&gt;"NON-COMPLIED",0,IF(COUNTIFS(INDEX($A$3:$AD$333,0,$AG$4),INDEX($A333:$AD333,$AG$4),INDEX($A$3:$AD$333,0,$AG$6),"NON-COMPLIED")=1,1,0)))))</f>
        <v>0</v>
      </c>
    </row>
    <row r="334" customFormat="false" ht="15" hidden="false" customHeight="false" outlineLevel="0" collapsed="false">
      <c r="AH334" s="21" t="n">
        <f aca="false">IF($AG$4=0,0,IF($AG$6=0,0,IF(INDEX($A334:$AD334,$AG$4)="",0,IF(INDEX($A334:$AD334,$AG$6)&lt;&gt;"NON-COMPLIED",0,IF(COUNTIFS(INDEX($A$3:$AD$334,0,$AG$4),INDEX($A334:$AD334,$AG$4),INDEX($A$3:$AD$334,0,$AG$6),"NON-COMPLIED")=1,1,0)))))</f>
        <v>0</v>
      </c>
    </row>
    <row r="335" customFormat="false" ht="15" hidden="false" customHeight="false" outlineLevel="0" collapsed="false">
      <c r="AH335" s="21" t="n">
        <f aca="false">IF($AG$4=0,0,IF($AG$6=0,0,IF(INDEX($A335:$AD335,$AG$4)="",0,IF(INDEX($A335:$AD335,$AG$6)&lt;&gt;"NON-COMPLIED",0,IF(COUNTIFS(INDEX($A$3:$AD$335,0,$AG$4),INDEX($A335:$AD335,$AG$4),INDEX($A$3:$AD$335,0,$AG$6),"NON-COMPLIED")=1,1,0)))))</f>
        <v>0</v>
      </c>
    </row>
    <row r="336" customFormat="false" ht="15" hidden="false" customHeight="false" outlineLevel="0" collapsed="false">
      <c r="AH336" s="21" t="n">
        <f aca="false">IF($AG$4=0,0,IF($AG$6=0,0,IF(INDEX($A336:$AD336,$AG$4)="",0,IF(INDEX($A336:$AD336,$AG$6)&lt;&gt;"NON-COMPLIED",0,IF(COUNTIFS(INDEX($A$3:$AD$336,0,$AG$4),INDEX($A336:$AD336,$AG$4),INDEX($A$3:$AD$336,0,$AG$6),"NON-COMPLIED")=1,1,0)))))</f>
        <v>0</v>
      </c>
    </row>
    <row r="337" customFormat="false" ht="15" hidden="false" customHeight="false" outlineLevel="0" collapsed="false">
      <c r="AH337" s="21" t="n">
        <f aca="false">IF($AG$4=0,0,IF($AG$6=0,0,IF(INDEX($A337:$AD337,$AG$4)="",0,IF(INDEX($A337:$AD337,$AG$6)&lt;&gt;"NON-COMPLIED",0,IF(COUNTIFS(INDEX($A$3:$AD$337,0,$AG$4),INDEX($A337:$AD337,$AG$4),INDEX($A$3:$AD$337,0,$AG$6),"NON-COMPLIED")=1,1,0)))))</f>
        <v>0</v>
      </c>
    </row>
    <row r="338" customFormat="false" ht="15" hidden="false" customHeight="false" outlineLevel="0" collapsed="false">
      <c r="AH338" s="21" t="n">
        <f aca="false">IF($AG$4=0,0,IF($AG$6=0,0,IF(INDEX($A338:$AD338,$AG$4)="",0,IF(INDEX($A338:$AD338,$AG$6)&lt;&gt;"NON-COMPLIED",0,IF(COUNTIFS(INDEX($A$3:$AD$338,0,$AG$4),INDEX($A338:$AD338,$AG$4),INDEX($A$3:$AD$338,0,$AG$6),"NON-COMPLIED")=1,1,0)))))</f>
        <v>0</v>
      </c>
    </row>
    <row r="339" customFormat="false" ht="15" hidden="false" customHeight="false" outlineLevel="0" collapsed="false">
      <c r="AH339" s="21" t="n">
        <f aca="false">IF($AG$4=0,0,IF($AG$6=0,0,IF(INDEX($A339:$AD339,$AG$4)="",0,IF(INDEX($A339:$AD339,$AG$6)&lt;&gt;"NON-COMPLIED",0,IF(COUNTIFS(INDEX($A$3:$AD$339,0,$AG$4),INDEX($A339:$AD339,$AG$4),INDEX($A$3:$AD$339,0,$AG$6),"NON-COMPLIED")=1,1,0)))))</f>
        <v>0</v>
      </c>
    </row>
    <row r="340" customFormat="false" ht="15" hidden="false" customHeight="false" outlineLevel="0" collapsed="false">
      <c r="AH340" s="21" t="n">
        <f aca="false">IF($AG$4=0,0,IF($AG$6=0,0,IF(INDEX($A340:$AD340,$AG$4)="",0,IF(INDEX($A340:$AD340,$AG$6)&lt;&gt;"NON-COMPLIED",0,IF(COUNTIFS(INDEX($A$3:$AD$340,0,$AG$4),INDEX($A340:$AD340,$AG$4),INDEX($A$3:$AD$340,0,$AG$6),"NON-COMPLIED")=1,1,0)))))</f>
        <v>0</v>
      </c>
    </row>
    <row r="341" customFormat="false" ht="15" hidden="false" customHeight="false" outlineLevel="0" collapsed="false">
      <c r="AH341" s="21" t="n">
        <f aca="false">IF($AG$4=0,0,IF($AG$6=0,0,IF(INDEX($A341:$AD341,$AG$4)="",0,IF(INDEX($A341:$AD341,$AG$6)&lt;&gt;"NON-COMPLIED",0,IF(COUNTIFS(INDEX($A$3:$AD$341,0,$AG$4),INDEX($A341:$AD341,$AG$4),INDEX($A$3:$AD$341,0,$AG$6),"NON-COMPLIED")=1,1,0)))))</f>
        <v>0</v>
      </c>
    </row>
    <row r="342" customFormat="false" ht="15" hidden="false" customHeight="false" outlineLevel="0" collapsed="false">
      <c r="AH342" s="21" t="n">
        <f aca="false">IF($AG$4=0,0,IF($AG$6=0,0,IF(INDEX($A342:$AD342,$AG$4)="",0,IF(INDEX($A342:$AD342,$AG$6)&lt;&gt;"NON-COMPLIED",0,IF(COUNTIFS(INDEX($A$3:$AD$342,0,$AG$4),INDEX($A342:$AD342,$AG$4),INDEX($A$3:$AD$342,0,$AG$6),"NON-COMPLIED")=1,1,0)))))</f>
        <v>0</v>
      </c>
    </row>
    <row r="343" customFormat="false" ht="15" hidden="false" customHeight="false" outlineLevel="0" collapsed="false">
      <c r="AH343" s="21" t="n">
        <f aca="false">IF($AG$4=0,0,IF($AG$6=0,0,IF(INDEX($A343:$AD343,$AG$4)="",0,IF(INDEX($A343:$AD343,$AG$6)&lt;&gt;"NON-COMPLIED",0,IF(COUNTIFS(INDEX($A$3:$AD$343,0,$AG$4),INDEX($A343:$AD343,$AG$4),INDEX($A$3:$AD$343,0,$AG$6),"NON-COMPLIED")=1,1,0)))))</f>
        <v>0</v>
      </c>
    </row>
    <row r="344" customFormat="false" ht="15" hidden="false" customHeight="false" outlineLevel="0" collapsed="false">
      <c r="AH344" s="21" t="n">
        <f aca="false">IF($AG$4=0,0,IF($AG$6=0,0,IF(INDEX($A344:$AD344,$AG$4)="",0,IF(INDEX($A344:$AD344,$AG$6)&lt;&gt;"NON-COMPLIED",0,IF(COUNTIFS(INDEX($A$3:$AD$344,0,$AG$4),INDEX($A344:$AD344,$AG$4),INDEX($A$3:$AD$344,0,$AG$6),"NON-COMPLIED")=1,1,0)))))</f>
        <v>0</v>
      </c>
    </row>
    <row r="345" customFormat="false" ht="15" hidden="false" customHeight="false" outlineLevel="0" collapsed="false">
      <c r="AH345" s="21" t="n">
        <f aca="false">IF($AG$4=0,0,IF($AG$6=0,0,IF(INDEX($A345:$AD345,$AG$4)="",0,IF(INDEX($A345:$AD345,$AG$6)&lt;&gt;"NON-COMPLIED",0,IF(COUNTIFS(INDEX($A$3:$AD$345,0,$AG$4),INDEX($A345:$AD345,$AG$4),INDEX($A$3:$AD$345,0,$AG$6),"NON-COMPLIED")=1,1,0)))))</f>
        <v>0</v>
      </c>
    </row>
    <row r="346" customFormat="false" ht="15" hidden="false" customHeight="false" outlineLevel="0" collapsed="false">
      <c r="AH346" s="21" t="n">
        <f aca="false">IF($AG$4=0,0,IF($AG$6=0,0,IF(INDEX($A346:$AD346,$AG$4)="",0,IF(INDEX($A346:$AD346,$AG$6)&lt;&gt;"NON-COMPLIED",0,IF(COUNTIFS(INDEX($A$3:$AD$346,0,$AG$4),INDEX($A346:$AD346,$AG$4),INDEX($A$3:$AD$346,0,$AG$6),"NON-COMPLIED")=1,1,0)))))</f>
        <v>0</v>
      </c>
    </row>
    <row r="347" customFormat="false" ht="15" hidden="false" customHeight="false" outlineLevel="0" collapsed="false">
      <c r="AH347" s="21" t="n">
        <f aca="false">IF($AG$4=0,0,IF($AG$6=0,0,IF(INDEX($A347:$AD347,$AG$4)="",0,IF(INDEX($A347:$AD347,$AG$6)&lt;&gt;"NON-COMPLIED",0,IF(COUNTIFS(INDEX($A$3:$AD$347,0,$AG$4),INDEX($A347:$AD347,$AG$4),INDEX($A$3:$AD$347,0,$AG$6),"NON-COMPLIED")=1,1,0)))))</f>
        <v>0</v>
      </c>
    </row>
    <row r="348" customFormat="false" ht="15" hidden="false" customHeight="false" outlineLevel="0" collapsed="false">
      <c r="AH348" s="21" t="n">
        <f aca="false">IF($AG$4=0,0,IF($AG$6=0,0,IF(INDEX($A348:$AD348,$AG$4)="",0,IF(INDEX($A348:$AD348,$AG$6)&lt;&gt;"NON-COMPLIED",0,IF(COUNTIFS(INDEX($A$3:$AD$348,0,$AG$4),INDEX($A348:$AD348,$AG$4),INDEX($A$3:$AD$348,0,$AG$6),"NON-COMPLIED")=1,1,0)))))</f>
        <v>0</v>
      </c>
    </row>
    <row r="349" customFormat="false" ht="15" hidden="false" customHeight="false" outlineLevel="0" collapsed="false">
      <c r="AH349" s="21" t="n">
        <f aca="false">IF($AG$4=0,0,IF($AG$6=0,0,IF(INDEX($A349:$AD349,$AG$4)="",0,IF(INDEX($A349:$AD349,$AG$6)&lt;&gt;"NON-COMPLIED",0,IF(COUNTIFS(INDEX($A$3:$AD$349,0,$AG$4),INDEX($A349:$AD349,$AG$4),INDEX($A$3:$AD$349,0,$AG$6),"NON-COMPLIED")=1,1,0)))))</f>
        <v>0</v>
      </c>
    </row>
    <row r="350" customFormat="false" ht="15" hidden="false" customHeight="false" outlineLevel="0" collapsed="false">
      <c r="AH350" s="21" t="n">
        <f aca="false">IF($AG$4=0,0,IF($AG$6=0,0,IF(INDEX($A350:$AD350,$AG$4)="",0,IF(INDEX($A350:$AD350,$AG$6)&lt;&gt;"NON-COMPLIED",0,IF(COUNTIFS(INDEX($A$3:$AD$350,0,$AG$4),INDEX($A350:$AD350,$AG$4),INDEX($A$3:$AD$350,0,$AG$6),"NON-COMPLIED")=1,1,0)))))</f>
        <v>0</v>
      </c>
    </row>
    <row r="351" customFormat="false" ht="15" hidden="false" customHeight="false" outlineLevel="0" collapsed="false">
      <c r="AH351" s="21" t="n">
        <f aca="false">IF($AG$4=0,0,IF($AG$6=0,0,IF(INDEX($A351:$AD351,$AG$4)="",0,IF(INDEX($A351:$AD351,$AG$6)&lt;&gt;"NON-COMPLIED",0,IF(COUNTIFS(INDEX($A$3:$AD$351,0,$AG$4),INDEX($A351:$AD351,$AG$4),INDEX($A$3:$AD$351,0,$AG$6),"NON-COMPLIED")=1,1,0)))))</f>
        <v>0</v>
      </c>
    </row>
    <row r="352" customFormat="false" ht="15" hidden="false" customHeight="false" outlineLevel="0" collapsed="false">
      <c r="AH352" s="21" t="n">
        <f aca="false">IF($AG$4=0,0,IF($AG$6=0,0,IF(INDEX($A352:$AD352,$AG$4)="",0,IF(INDEX($A352:$AD352,$AG$6)&lt;&gt;"NON-COMPLIED",0,IF(COUNTIFS(INDEX($A$3:$AD$352,0,$AG$4),INDEX($A352:$AD352,$AG$4),INDEX($A$3:$AD$352,0,$AG$6),"NON-COMPLIED")=1,1,0)))))</f>
        <v>0</v>
      </c>
    </row>
    <row r="353" customFormat="false" ht="15" hidden="false" customHeight="false" outlineLevel="0" collapsed="false">
      <c r="AH353" s="21" t="n">
        <f aca="false">IF($AG$4=0,0,IF($AG$6=0,0,IF(INDEX($A353:$AD353,$AG$4)="",0,IF(INDEX($A353:$AD353,$AG$6)&lt;&gt;"NON-COMPLIED",0,IF(COUNTIFS(INDEX($A$3:$AD$353,0,$AG$4),INDEX($A353:$AD353,$AG$4),INDEX($A$3:$AD$353,0,$AG$6),"NON-COMPLIED")=1,1,0)))))</f>
        <v>0</v>
      </c>
    </row>
    <row r="354" customFormat="false" ht="15" hidden="false" customHeight="false" outlineLevel="0" collapsed="false">
      <c r="AH354" s="21" t="n">
        <f aca="false">IF($AG$4=0,0,IF($AG$6=0,0,IF(INDEX($A354:$AD354,$AG$4)="",0,IF(INDEX($A354:$AD354,$AG$6)&lt;&gt;"NON-COMPLIED",0,IF(COUNTIFS(INDEX($A$3:$AD$354,0,$AG$4),INDEX($A354:$AD354,$AG$4),INDEX($A$3:$AD$354,0,$AG$6),"NON-COMPLIED")=1,1,0)))))</f>
        <v>0</v>
      </c>
    </row>
    <row r="355" customFormat="false" ht="15" hidden="false" customHeight="false" outlineLevel="0" collapsed="false">
      <c r="AH355" s="21" t="n">
        <f aca="false">IF($AG$4=0,0,IF($AG$6=0,0,IF(INDEX($A355:$AD355,$AG$4)="",0,IF(INDEX($A355:$AD355,$AG$6)&lt;&gt;"NON-COMPLIED",0,IF(COUNTIFS(INDEX($A$3:$AD$355,0,$AG$4),INDEX($A355:$AD355,$AG$4),INDEX($A$3:$AD$355,0,$AG$6),"NON-COMPLIED")=1,1,0)))))</f>
        <v>0</v>
      </c>
    </row>
    <row r="356" customFormat="false" ht="15" hidden="false" customHeight="false" outlineLevel="0" collapsed="false">
      <c r="AH356" s="21" t="n">
        <f aca="false">IF($AG$4=0,0,IF($AG$6=0,0,IF(INDEX($A356:$AD356,$AG$4)="",0,IF(INDEX($A356:$AD356,$AG$6)&lt;&gt;"NON-COMPLIED",0,IF(COUNTIFS(INDEX($A$3:$AD$356,0,$AG$4),INDEX($A356:$AD356,$AG$4),INDEX($A$3:$AD$356,0,$AG$6),"NON-COMPLIED")=1,1,0)))))</f>
        <v>0</v>
      </c>
    </row>
    <row r="357" customFormat="false" ht="15" hidden="false" customHeight="false" outlineLevel="0" collapsed="false">
      <c r="AH357" s="21" t="n">
        <f aca="false">IF($AG$4=0,0,IF($AG$6=0,0,IF(INDEX($A357:$AD357,$AG$4)="",0,IF(INDEX($A357:$AD357,$AG$6)&lt;&gt;"NON-COMPLIED",0,IF(COUNTIFS(INDEX($A$3:$AD$357,0,$AG$4),INDEX($A357:$AD357,$AG$4),INDEX($A$3:$AD$357,0,$AG$6),"NON-COMPLIED")=1,1,0)))))</f>
        <v>0</v>
      </c>
    </row>
    <row r="358" customFormat="false" ht="15" hidden="false" customHeight="false" outlineLevel="0" collapsed="false">
      <c r="AH358" s="21" t="n">
        <f aca="false">IF($AG$4=0,0,IF($AG$6=0,0,IF(INDEX($A358:$AD358,$AG$4)="",0,IF(INDEX($A358:$AD358,$AG$6)&lt;&gt;"NON-COMPLIED",0,IF(COUNTIFS(INDEX($A$3:$AD$358,0,$AG$4),INDEX($A358:$AD358,$AG$4),INDEX($A$3:$AD$358,0,$AG$6),"NON-COMPLIED")=1,1,0)))))</f>
        <v>0</v>
      </c>
    </row>
    <row r="359" customFormat="false" ht="15" hidden="false" customHeight="false" outlineLevel="0" collapsed="false">
      <c r="AH359" s="21" t="n">
        <f aca="false">IF($AG$4=0,0,IF($AG$6=0,0,IF(INDEX($A359:$AD359,$AG$4)="",0,IF(INDEX($A359:$AD359,$AG$6)&lt;&gt;"NON-COMPLIED",0,IF(COUNTIFS(INDEX($A$3:$AD$359,0,$AG$4),INDEX($A359:$AD359,$AG$4),INDEX($A$3:$AD$359,0,$AG$6),"NON-COMPLIED")=1,1,0)))))</f>
        <v>0</v>
      </c>
    </row>
    <row r="360" customFormat="false" ht="15" hidden="false" customHeight="false" outlineLevel="0" collapsed="false">
      <c r="AH360" s="21" t="n">
        <f aca="false">IF($AG$4=0,0,IF($AG$6=0,0,IF(INDEX($A360:$AD360,$AG$4)="",0,IF(INDEX($A360:$AD360,$AG$6)&lt;&gt;"NON-COMPLIED",0,IF(COUNTIFS(INDEX($A$3:$AD$360,0,$AG$4),INDEX($A360:$AD360,$AG$4),INDEX($A$3:$AD$360,0,$AG$6),"NON-COMPLIED")=1,1,0)))))</f>
        <v>0</v>
      </c>
    </row>
    <row r="361" customFormat="false" ht="15" hidden="false" customHeight="false" outlineLevel="0" collapsed="false">
      <c r="AH361" s="21" t="n">
        <f aca="false">IF($AG$4=0,0,IF($AG$6=0,0,IF(INDEX($A361:$AD361,$AG$4)="",0,IF(INDEX($A361:$AD361,$AG$6)&lt;&gt;"NON-COMPLIED",0,IF(COUNTIFS(INDEX($A$3:$AD$361,0,$AG$4),INDEX($A361:$AD361,$AG$4),INDEX($A$3:$AD$361,0,$AG$6),"NON-COMPLIED")=1,1,0)))))</f>
        <v>0</v>
      </c>
    </row>
    <row r="362" customFormat="false" ht="15" hidden="false" customHeight="false" outlineLevel="0" collapsed="false">
      <c r="AH362" s="21" t="n">
        <f aca="false">IF($AG$4=0,0,IF($AG$6=0,0,IF(INDEX($A362:$AD362,$AG$4)="",0,IF(INDEX($A362:$AD362,$AG$6)&lt;&gt;"NON-COMPLIED",0,IF(COUNTIFS(INDEX($A$3:$AD$362,0,$AG$4),INDEX($A362:$AD362,$AG$4),INDEX($A$3:$AD$362,0,$AG$6),"NON-COMPLIED")=1,1,0)))))</f>
        <v>0</v>
      </c>
    </row>
    <row r="363" customFormat="false" ht="15" hidden="false" customHeight="false" outlineLevel="0" collapsed="false">
      <c r="AH363" s="21" t="n">
        <f aca="false">IF($AG$4=0,0,IF($AG$6=0,0,IF(INDEX($A363:$AD363,$AG$4)="",0,IF(INDEX($A363:$AD363,$AG$6)&lt;&gt;"NON-COMPLIED",0,IF(COUNTIFS(INDEX($A$3:$AD$363,0,$AG$4),INDEX($A363:$AD363,$AG$4),INDEX($A$3:$AD$363,0,$AG$6),"NON-COMPLIED")=1,1,0)))))</f>
        <v>0</v>
      </c>
    </row>
    <row r="364" customFormat="false" ht="15" hidden="false" customHeight="false" outlineLevel="0" collapsed="false">
      <c r="AH364" s="21" t="n">
        <f aca="false">IF($AG$4=0,0,IF($AG$6=0,0,IF(INDEX($A364:$AD364,$AG$4)="",0,IF(INDEX($A364:$AD364,$AG$6)&lt;&gt;"NON-COMPLIED",0,IF(COUNTIFS(INDEX($A$3:$AD$364,0,$AG$4),INDEX($A364:$AD364,$AG$4),INDEX($A$3:$AD$364,0,$AG$6),"NON-COMPLIED")=1,1,0)))))</f>
        <v>0</v>
      </c>
    </row>
    <row r="365" customFormat="false" ht="15" hidden="false" customHeight="false" outlineLevel="0" collapsed="false">
      <c r="AH365" s="21" t="n">
        <f aca="false">IF($AG$4=0,0,IF($AG$6=0,0,IF(INDEX($A365:$AD365,$AG$4)="",0,IF(INDEX($A365:$AD365,$AG$6)&lt;&gt;"NON-COMPLIED",0,IF(COUNTIFS(INDEX($A$3:$AD$365,0,$AG$4),INDEX($A365:$AD365,$AG$4),INDEX($A$3:$AD$365,0,$AG$6),"NON-COMPLIED")=1,1,0)))))</f>
        <v>0</v>
      </c>
    </row>
    <row r="366" customFormat="false" ht="15" hidden="false" customHeight="false" outlineLevel="0" collapsed="false">
      <c r="AH366" s="21" t="n">
        <f aca="false">IF($AG$4=0,0,IF($AG$6=0,0,IF(INDEX($A366:$AD366,$AG$4)="",0,IF(INDEX($A366:$AD366,$AG$6)&lt;&gt;"NON-COMPLIED",0,IF(COUNTIFS(INDEX($A$3:$AD$366,0,$AG$4),INDEX($A366:$AD366,$AG$4),INDEX($A$3:$AD$366,0,$AG$6),"NON-COMPLIED")=1,1,0)))))</f>
        <v>0</v>
      </c>
    </row>
    <row r="367" customFormat="false" ht="15" hidden="false" customHeight="false" outlineLevel="0" collapsed="false">
      <c r="AH367" s="21" t="n">
        <f aca="false">IF($AG$4=0,0,IF($AG$6=0,0,IF(INDEX($A367:$AD367,$AG$4)="",0,IF(INDEX($A367:$AD367,$AG$6)&lt;&gt;"NON-COMPLIED",0,IF(COUNTIFS(INDEX($A$3:$AD$367,0,$AG$4),INDEX($A367:$AD367,$AG$4),INDEX($A$3:$AD$367,0,$AG$6),"NON-COMPLIED")=1,1,0)))))</f>
        <v>0</v>
      </c>
    </row>
    <row r="368" customFormat="false" ht="15" hidden="false" customHeight="false" outlineLevel="0" collapsed="false">
      <c r="AH368" s="21" t="n">
        <f aca="false">IF($AG$4=0,0,IF($AG$6=0,0,IF(INDEX($A368:$AD368,$AG$4)="",0,IF(INDEX($A368:$AD368,$AG$6)&lt;&gt;"NON-COMPLIED",0,IF(COUNTIFS(INDEX($A$3:$AD$368,0,$AG$4),INDEX($A368:$AD368,$AG$4),INDEX($A$3:$AD$368,0,$AG$6),"NON-COMPLIED")=1,1,0)))))</f>
        <v>0</v>
      </c>
    </row>
    <row r="369" customFormat="false" ht="15" hidden="false" customHeight="false" outlineLevel="0" collapsed="false">
      <c r="AH369" s="21" t="n">
        <f aca="false">IF($AG$4=0,0,IF($AG$6=0,0,IF(INDEX($A369:$AD369,$AG$4)="",0,IF(INDEX($A369:$AD369,$AG$6)&lt;&gt;"NON-COMPLIED",0,IF(COUNTIFS(INDEX($A$3:$AD$369,0,$AG$4),INDEX($A369:$AD369,$AG$4),INDEX($A$3:$AD$369,0,$AG$6),"NON-COMPLIED")=1,1,0)))))</f>
        <v>0</v>
      </c>
    </row>
    <row r="370" customFormat="false" ht="15" hidden="false" customHeight="false" outlineLevel="0" collapsed="false">
      <c r="AH370" s="21" t="n">
        <f aca="false">IF($AG$4=0,0,IF($AG$6=0,0,IF(INDEX($A370:$AD370,$AG$4)="",0,IF(INDEX($A370:$AD370,$AG$6)&lt;&gt;"NON-COMPLIED",0,IF(COUNTIFS(INDEX($A$3:$AD$370,0,$AG$4),INDEX($A370:$AD370,$AG$4),INDEX($A$3:$AD$370,0,$AG$6),"NON-COMPLIED")=1,1,0)))))</f>
        <v>0</v>
      </c>
    </row>
    <row r="371" customFormat="false" ht="15" hidden="false" customHeight="false" outlineLevel="0" collapsed="false">
      <c r="AH371" s="21" t="n">
        <f aca="false">IF($AG$4=0,0,IF($AG$6=0,0,IF(INDEX($A371:$AD371,$AG$4)="",0,IF(INDEX($A371:$AD371,$AG$6)&lt;&gt;"NON-COMPLIED",0,IF(COUNTIFS(INDEX($A$3:$AD$371,0,$AG$4),INDEX($A371:$AD371,$AG$4),INDEX($A$3:$AD$371,0,$AG$6),"NON-COMPLIED")=1,1,0)))))</f>
        <v>0</v>
      </c>
    </row>
    <row r="372" customFormat="false" ht="15" hidden="false" customHeight="false" outlineLevel="0" collapsed="false">
      <c r="AH372" s="21" t="n">
        <f aca="false">IF($AG$4=0,0,IF($AG$6=0,0,IF(INDEX($A372:$AD372,$AG$4)="",0,IF(INDEX($A372:$AD372,$AG$6)&lt;&gt;"NON-COMPLIED",0,IF(COUNTIFS(INDEX($A$3:$AD$372,0,$AG$4),INDEX($A372:$AD372,$AG$4),INDEX($A$3:$AD$372,0,$AG$6),"NON-COMPLIED")=1,1,0)))))</f>
        <v>0</v>
      </c>
    </row>
    <row r="373" customFormat="false" ht="15" hidden="false" customHeight="false" outlineLevel="0" collapsed="false">
      <c r="AH373" s="21" t="n">
        <f aca="false">IF($AG$4=0,0,IF($AG$6=0,0,IF(INDEX($A373:$AD373,$AG$4)="",0,IF(INDEX($A373:$AD373,$AG$6)&lt;&gt;"NON-COMPLIED",0,IF(COUNTIFS(INDEX($A$3:$AD$373,0,$AG$4),INDEX($A373:$AD373,$AG$4),INDEX($A$3:$AD$373,0,$AG$6),"NON-COMPLIED")=1,1,0)))))</f>
        <v>0</v>
      </c>
    </row>
    <row r="374" customFormat="false" ht="15" hidden="false" customHeight="false" outlineLevel="0" collapsed="false">
      <c r="AH374" s="21" t="n">
        <f aca="false">IF($AG$4=0,0,IF($AG$6=0,0,IF(INDEX($A374:$AD374,$AG$4)="",0,IF(INDEX($A374:$AD374,$AG$6)&lt;&gt;"NON-COMPLIED",0,IF(COUNTIFS(INDEX($A$3:$AD$374,0,$AG$4),INDEX($A374:$AD374,$AG$4),INDEX($A$3:$AD$374,0,$AG$6),"NON-COMPLIED")=1,1,0)))))</f>
        <v>0</v>
      </c>
    </row>
    <row r="375" customFormat="false" ht="15" hidden="false" customHeight="false" outlineLevel="0" collapsed="false">
      <c r="AH375" s="21" t="n">
        <f aca="false">IF($AG$4=0,0,IF($AG$6=0,0,IF(INDEX($A375:$AD375,$AG$4)="",0,IF(INDEX($A375:$AD375,$AG$6)&lt;&gt;"NON-COMPLIED",0,IF(COUNTIFS(INDEX($A$3:$AD$375,0,$AG$4),INDEX($A375:$AD375,$AG$4),INDEX($A$3:$AD$375,0,$AG$6),"NON-COMPLIED")=1,1,0)))))</f>
        <v>0</v>
      </c>
    </row>
    <row r="376" customFormat="false" ht="15" hidden="false" customHeight="false" outlineLevel="0" collapsed="false">
      <c r="AH376" s="21" t="n">
        <f aca="false">IF($AG$4=0,0,IF($AG$6=0,0,IF(INDEX($A376:$AD376,$AG$4)="",0,IF(INDEX($A376:$AD376,$AG$6)&lt;&gt;"NON-COMPLIED",0,IF(COUNTIFS(INDEX($A$3:$AD$376,0,$AG$4),INDEX($A376:$AD376,$AG$4),INDEX($A$3:$AD$376,0,$AG$6),"NON-COMPLIED")=1,1,0)))))</f>
        <v>0</v>
      </c>
    </row>
    <row r="377" customFormat="false" ht="15" hidden="false" customHeight="false" outlineLevel="0" collapsed="false">
      <c r="AH377" s="21" t="n">
        <f aca="false">IF($AG$4=0,0,IF($AG$6=0,0,IF(INDEX($A377:$AD377,$AG$4)="",0,IF(INDEX($A377:$AD377,$AG$6)&lt;&gt;"NON-COMPLIED",0,IF(COUNTIFS(INDEX($A$3:$AD$377,0,$AG$4),INDEX($A377:$AD377,$AG$4),INDEX($A$3:$AD$377,0,$AG$6),"NON-COMPLIED")=1,1,0)))))</f>
        <v>0</v>
      </c>
    </row>
    <row r="378" customFormat="false" ht="15" hidden="false" customHeight="false" outlineLevel="0" collapsed="false">
      <c r="AH378" s="21" t="n">
        <f aca="false">IF($AG$4=0,0,IF($AG$6=0,0,IF(INDEX($A378:$AD378,$AG$4)="",0,IF(INDEX($A378:$AD378,$AG$6)&lt;&gt;"NON-COMPLIED",0,IF(COUNTIFS(INDEX($A$3:$AD$378,0,$AG$4),INDEX($A378:$AD378,$AG$4),INDEX($A$3:$AD$378,0,$AG$6),"NON-COMPLIED")=1,1,0)))))</f>
        <v>0</v>
      </c>
    </row>
    <row r="379" customFormat="false" ht="15" hidden="false" customHeight="false" outlineLevel="0" collapsed="false">
      <c r="AH379" s="21" t="n">
        <f aca="false">IF($AG$4=0,0,IF($AG$6=0,0,IF(INDEX($A379:$AD379,$AG$4)="",0,IF(INDEX($A379:$AD379,$AG$6)&lt;&gt;"NON-COMPLIED",0,IF(COUNTIFS(INDEX($A$3:$AD$379,0,$AG$4),INDEX($A379:$AD379,$AG$4),INDEX($A$3:$AD$379,0,$AG$6),"NON-COMPLIED")=1,1,0)))))</f>
        <v>0</v>
      </c>
    </row>
    <row r="380" customFormat="false" ht="15" hidden="false" customHeight="false" outlineLevel="0" collapsed="false">
      <c r="AH380" s="21" t="n">
        <f aca="false">IF($AG$4=0,0,IF($AG$6=0,0,IF(INDEX($A380:$AD380,$AG$4)="",0,IF(INDEX($A380:$AD380,$AG$6)&lt;&gt;"NON-COMPLIED",0,IF(COUNTIFS(INDEX($A$3:$AD$380,0,$AG$4),INDEX($A380:$AD380,$AG$4),INDEX($A$3:$AD$380,0,$AG$6),"NON-COMPLIED")=1,1,0)))))</f>
        <v>0</v>
      </c>
    </row>
    <row r="381" customFormat="false" ht="15" hidden="false" customHeight="false" outlineLevel="0" collapsed="false">
      <c r="AH381" s="21" t="n">
        <f aca="false">IF($AG$4=0,0,IF($AG$6=0,0,IF(INDEX($A381:$AD381,$AG$4)="",0,IF(INDEX($A381:$AD381,$AG$6)&lt;&gt;"NON-COMPLIED",0,IF(COUNTIFS(INDEX($A$3:$AD$381,0,$AG$4),INDEX($A381:$AD381,$AG$4),INDEX($A$3:$AD$381,0,$AG$6),"NON-COMPLIED")=1,1,0)))))</f>
        <v>0</v>
      </c>
    </row>
    <row r="382" customFormat="false" ht="15" hidden="false" customHeight="false" outlineLevel="0" collapsed="false">
      <c r="AH382" s="21" t="n">
        <f aca="false">IF($AG$4=0,0,IF($AG$6=0,0,IF(INDEX($A382:$AD382,$AG$4)="",0,IF(INDEX($A382:$AD382,$AG$6)&lt;&gt;"NON-COMPLIED",0,IF(COUNTIFS(INDEX($A$3:$AD$382,0,$AG$4),INDEX($A382:$AD382,$AG$4),INDEX($A$3:$AD$382,0,$AG$6),"NON-COMPLIED")=1,1,0)))))</f>
        <v>0</v>
      </c>
    </row>
    <row r="383" customFormat="false" ht="15" hidden="false" customHeight="false" outlineLevel="0" collapsed="false">
      <c r="AH383" s="21" t="n">
        <f aca="false">IF($AG$4=0,0,IF($AG$6=0,0,IF(INDEX($A383:$AD383,$AG$4)="",0,IF(INDEX($A383:$AD383,$AG$6)&lt;&gt;"NON-COMPLIED",0,IF(COUNTIFS(INDEX($A$3:$AD$383,0,$AG$4),INDEX($A383:$AD383,$AG$4),INDEX($A$3:$AD$383,0,$AG$6),"NON-COMPLIED")=1,1,0)))))</f>
        <v>0</v>
      </c>
    </row>
    <row r="384" customFormat="false" ht="15" hidden="false" customHeight="false" outlineLevel="0" collapsed="false">
      <c r="AH384" s="21" t="n">
        <f aca="false">IF($AG$4=0,0,IF($AG$6=0,0,IF(INDEX($A384:$AD384,$AG$4)="",0,IF(INDEX($A384:$AD384,$AG$6)&lt;&gt;"NON-COMPLIED",0,IF(COUNTIFS(INDEX($A$3:$AD$384,0,$AG$4),INDEX($A384:$AD384,$AG$4),INDEX($A$3:$AD$384,0,$AG$6),"NON-COMPLIED")=1,1,0)))))</f>
        <v>0</v>
      </c>
    </row>
    <row r="385" customFormat="false" ht="15" hidden="false" customHeight="false" outlineLevel="0" collapsed="false">
      <c r="AH385" s="21" t="n">
        <f aca="false">IF($AG$4=0,0,IF($AG$6=0,0,IF(INDEX($A385:$AD385,$AG$4)="",0,IF(INDEX($A385:$AD385,$AG$6)&lt;&gt;"NON-COMPLIED",0,IF(COUNTIFS(INDEX($A$3:$AD$385,0,$AG$4),INDEX($A385:$AD385,$AG$4),INDEX($A$3:$AD$385,0,$AG$6),"NON-COMPLIED")=1,1,0)))))</f>
        <v>0</v>
      </c>
    </row>
    <row r="386" customFormat="false" ht="15" hidden="false" customHeight="false" outlineLevel="0" collapsed="false">
      <c r="AH386" s="21" t="n">
        <f aca="false">IF($AG$4=0,0,IF($AG$6=0,0,IF(INDEX($A386:$AD386,$AG$4)="",0,IF(INDEX($A386:$AD386,$AG$6)&lt;&gt;"NON-COMPLIED",0,IF(COUNTIFS(INDEX($A$3:$AD$386,0,$AG$4),INDEX($A386:$AD386,$AG$4),INDEX($A$3:$AD$386,0,$AG$6),"NON-COMPLIED")=1,1,0)))))</f>
        <v>0</v>
      </c>
    </row>
    <row r="387" customFormat="false" ht="15" hidden="false" customHeight="false" outlineLevel="0" collapsed="false">
      <c r="AH387" s="21" t="n">
        <f aca="false">IF($AG$4=0,0,IF($AG$6=0,0,IF(INDEX($A387:$AD387,$AG$4)="",0,IF(INDEX($A387:$AD387,$AG$6)&lt;&gt;"NON-COMPLIED",0,IF(COUNTIFS(INDEX($A$3:$AD$387,0,$AG$4),INDEX($A387:$AD387,$AG$4),INDEX($A$3:$AD$387,0,$AG$6),"NON-COMPLIED")=1,1,0)))))</f>
        <v>0</v>
      </c>
    </row>
    <row r="388" customFormat="false" ht="15" hidden="false" customHeight="false" outlineLevel="0" collapsed="false">
      <c r="AH388" s="21" t="n">
        <f aca="false">IF($AG$4=0,0,IF($AG$6=0,0,IF(INDEX($A388:$AD388,$AG$4)="",0,IF(INDEX($A388:$AD388,$AG$6)&lt;&gt;"NON-COMPLIED",0,IF(COUNTIFS(INDEX($A$3:$AD$388,0,$AG$4),INDEX($A388:$AD388,$AG$4),INDEX($A$3:$AD$388,0,$AG$6),"NON-COMPLIED")=1,1,0)))))</f>
        <v>0</v>
      </c>
    </row>
    <row r="389" customFormat="false" ht="15" hidden="false" customHeight="false" outlineLevel="0" collapsed="false">
      <c r="AH389" s="21" t="n">
        <f aca="false">IF($AG$4=0,0,IF($AG$6=0,0,IF(INDEX($A389:$AD389,$AG$4)="",0,IF(INDEX($A389:$AD389,$AG$6)&lt;&gt;"NON-COMPLIED",0,IF(COUNTIFS(INDEX($A$3:$AD$389,0,$AG$4),INDEX($A389:$AD389,$AG$4),INDEX($A$3:$AD$389,0,$AG$6),"NON-COMPLIED")=1,1,0)))))</f>
        <v>0</v>
      </c>
    </row>
    <row r="390" customFormat="false" ht="15" hidden="false" customHeight="false" outlineLevel="0" collapsed="false">
      <c r="AH390" s="21" t="n">
        <f aca="false">IF($AG$4=0,0,IF($AG$6=0,0,IF(INDEX($A390:$AD390,$AG$4)="",0,IF(INDEX($A390:$AD390,$AG$6)&lt;&gt;"NON-COMPLIED",0,IF(COUNTIFS(INDEX($A$3:$AD$390,0,$AG$4),INDEX($A390:$AD390,$AG$4),INDEX($A$3:$AD$390,0,$AG$6),"NON-COMPLIED")=1,1,0)))))</f>
        <v>0</v>
      </c>
    </row>
    <row r="391" customFormat="false" ht="15" hidden="false" customHeight="false" outlineLevel="0" collapsed="false">
      <c r="AH391" s="21" t="n">
        <f aca="false">IF($AG$4=0,0,IF($AG$6=0,0,IF(INDEX($A391:$AD391,$AG$4)="",0,IF(INDEX($A391:$AD391,$AG$6)&lt;&gt;"NON-COMPLIED",0,IF(COUNTIFS(INDEX($A$3:$AD$391,0,$AG$4),INDEX($A391:$AD391,$AG$4),INDEX($A$3:$AD$391,0,$AG$6),"NON-COMPLIED")=1,1,0)))))</f>
        <v>0</v>
      </c>
    </row>
    <row r="392" customFormat="false" ht="15" hidden="false" customHeight="false" outlineLevel="0" collapsed="false">
      <c r="AH392" s="21" t="n">
        <f aca="false">IF($AG$4=0,0,IF($AG$6=0,0,IF(INDEX($A392:$AD392,$AG$4)="",0,IF(INDEX($A392:$AD392,$AG$6)&lt;&gt;"NON-COMPLIED",0,IF(COUNTIFS(INDEX($A$3:$AD$392,0,$AG$4),INDEX($A392:$AD392,$AG$4),INDEX($A$3:$AD$392,0,$AG$6),"NON-COMPLIED")=1,1,0)))))</f>
        <v>0</v>
      </c>
    </row>
    <row r="393" customFormat="false" ht="15" hidden="false" customHeight="false" outlineLevel="0" collapsed="false">
      <c r="AH393" s="21" t="n">
        <f aca="false">IF($AG$4=0,0,IF($AG$6=0,0,IF(INDEX($A393:$AD393,$AG$4)="",0,IF(INDEX($A393:$AD393,$AG$6)&lt;&gt;"NON-COMPLIED",0,IF(COUNTIFS(INDEX($A$3:$AD$393,0,$AG$4),INDEX($A393:$AD393,$AG$4),INDEX($A$3:$AD$393,0,$AG$6),"NON-COMPLIED")=1,1,0)))))</f>
        <v>0</v>
      </c>
    </row>
    <row r="394" customFormat="false" ht="15" hidden="false" customHeight="false" outlineLevel="0" collapsed="false">
      <c r="AH394" s="21" t="n">
        <f aca="false">IF($AG$4=0,0,IF($AG$6=0,0,IF(INDEX($A394:$AD394,$AG$4)="",0,IF(INDEX($A394:$AD394,$AG$6)&lt;&gt;"NON-COMPLIED",0,IF(COUNTIFS(INDEX($A$3:$AD$394,0,$AG$4),INDEX($A394:$AD394,$AG$4),INDEX($A$3:$AD$394,0,$AG$6),"NON-COMPLIED")=1,1,0)))))</f>
        <v>0</v>
      </c>
    </row>
    <row r="395" customFormat="false" ht="15" hidden="false" customHeight="false" outlineLevel="0" collapsed="false">
      <c r="AH395" s="21" t="n">
        <f aca="false">IF($AG$4=0,0,IF($AG$6=0,0,IF(INDEX($A395:$AD395,$AG$4)="",0,IF(INDEX($A395:$AD395,$AG$6)&lt;&gt;"NON-COMPLIED",0,IF(COUNTIFS(INDEX($A$3:$AD$395,0,$AG$4),INDEX($A395:$AD395,$AG$4),INDEX($A$3:$AD$395,0,$AG$6),"NON-COMPLIED")=1,1,0)))))</f>
        <v>0</v>
      </c>
    </row>
    <row r="396" customFormat="false" ht="15" hidden="false" customHeight="false" outlineLevel="0" collapsed="false">
      <c r="AH396" s="21" t="n">
        <f aca="false">IF($AG$4=0,0,IF($AG$6=0,0,IF(INDEX($A396:$AD396,$AG$4)="",0,IF(INDEX($A396:$AD396,$AG$6)&lt;&gt;"NON-COMPLIED",0,IF(COUNTIFS(INDEX($A$3:$AD$396,0,$AG$4),INDEX($A396:$AD396,$AG$4),INDEX($A$3:$AD$396,0,$AG$6),"NON-COMPLIED")=1,1,0)))))</f>
        <v>0</v>
      </c>
    </row>
    <row r="397" customFormat="false" ht="15" hidden="false" customHeight="false" outlineLevel="0" collapsed="false">
      <c r="AH397" s="21" t="n">
        <f aca="false">IF($AG$4=0,0,IF($AG$6=0,0,IF(INDEX($A397:$AD397,$AG$4)="",0,IF(INDEX($A397:$AD397,$AG$6)&lt;&gt;"NON-COMPLIED",0,IF(COUNTIFS(INDEX($A$3:$AD$397,0,$AG$4),INDEX($A397:$AD397,$AG$4),INDEX($A$3:$AD$397,0,$AG$6),"NON-COMPLIED")=1,1,0)))))</f>
        <v>0</v>
      </c>
    </row>
    <row r="398" customFormat="false" ht="15" hidden="false" customHeight="false" outlineLevel="0" collapsed="false">
      <c r="AH398" s="21" t="n">
        <f aca="false">IF($AG$4=0,0,IF($AG$6=0,0,IF(INDEX($A398:$AD398,$AG$4)="",0,IF(INDEX($A398:$AD398,$AG$6)&lt;&gt;"NON-COMPLIED",0,IF(COUNTIFS(INDEX($A$3:$AD$398,0,$AG$4),INDEX($A398:$AD398,$AG$4),INDEX($A$3:$AD$398,0,$AG$6),"NON-COMPLIED")=1,1,0)))))</f>
        <v>0</v>
      </c>
    </row>
    <row r="399" customFormat="false" ht="15" hidden="false" customHeight="false" outlineLevel="0" collapsed="false">
      <c r="AH399" s="21" t="n">
        <f aca="false">IF($AG$4=0,0,IF($AG$6=0,0,IF(INDEX($A399:$AD399,$AG$4)="",0,IF(INDEX($A399:$AD399,$AG$6)&lt;&gt;"NON-COMPLIED",0,IF(COUNTIFS(INDEX($A$3:$AD$399,0,$AG$4),INDEX($A399:$AD399,$AG$4),INDEX($A$3:$AD$399,0,$AG$6),"NON-COMPLIED")=1,1,0)))))</f>
        <v>0</v>
      </c>
    </row>
    <row r="400" customFormat="false" ht="15" hidden="false" customHeight="false" outlineLevel="0" collapsed="false">
      <c r="AH400" s="21" t="n">
        <f aca="false">IF($AG$4=0,0,IF($AG$6=0,0,IF(INDEX($A400:$AD400,$AG$4)="",0,IF(INDEX($A400:$AD400,$AG$6)&lt;&gt;"NON-COMPLIED",0,IF(COUNTIFS(INDEX($A$3:$AD$400,0,$AG$4),INDEX($A400:$AD400,$AG$4),INDEX($A$3:$AD$400,0,$AG$6),"NON-COMPLIED")=1,1,0)))))</f>
        <v>0</v>
      </c>
    </row>
    <row r="401" customFormat="false" ht="15" hidden="false" customHeight="false" outlineLevel="0" collapsed="false">
      <c r="AH401" s="21" t="n">
        <f aca="false">IF($AG$4=0,0,IF($AG$6=0,0,IF(INDEX($A401:$AD401,$AG$4)="",0,IF(INDEX($A401:$AD401,$AG$6)&lt;&gt;"NON-COMPLIED",0,IF(COUNTIFS(INDEX($A$3:$AD$401,0,$AG$4),INDEX($A401:$AD401,$AG$4),INDEX($A$3:$AD$401,0,$AG$6),"NON-COMPLIED")=1,1,0)))))</f>
        <v>0</v>
      </c>
    </row>
    <row r="402" customFormat="false" ht="15" hidden="false" customHeight="false" outlineLevel="0" collapsed="false">
      <c r="AH402" s="21" t="n">
        <f aca="false">IF($AG$4=0,0,IF($AG$6=0,0,IF(INDEX($A402:$AD402,$AG$4)="",0,IF(INDEX($A402:$AD402,$AG$6)&lt;&gt;"NON-COMPLIED",0,IF(COUNTIFS(INDEX($A$3:$AD$402,0,$AG$4),INDEX($A402:$AD402,$AG$4),INDEX($A$3:$AD$402,0,$AG$6),"NON-COMPLIED")=1,1,0)))))</f>
        <v>0</v>
      </c>
    </row>
    <row r="403" customFormat="false" ht="15" hidden="false" customHeight="false" outlineLevel="0" collapsed="false">
      <c r="AH403" s="21" t="n">
        <f aca="false">IF($AG$4=0,0,IF($AG$6=0,0,IF(INDEX($A403:$AD403,$AG$4)="",0,IF(INDEX($A403:$AD403,$AG$6)&lt;&gt;"NON-COMPLIED",0,IF(COUNTIFS(INDEX($A$3:$AD$403,0,$AG$4),INDEX($A403:$AD403,$AG$4),INDEX($A$3:$AD$403,0,$AG$6),"NON-COMPLIED")=1,1,0)))))</f>
        <v>0</v>
      </c>
    </row>
    <row r="404" customFormat="false" ht="15" hidden="false" customHeight="false" outlineLevel="0" collapsed="false">
      <c r="AH404" s="21" t="n">
        <f aca="false">IF($AG$4=0,0,IF($AG$6=0,0,IF(INDEX($A404:$AD404,$AG$4)="",0,IF(INDEX($A404:$AD404,$AG$6)&lt;&gt;"NON-COMPLIED",0,IF(COUNTIFS(INDEX($A$3:$AD$404,0,$AG$4),INDEX($A404:$AD404,$AG$4),INDEX($A$3:$AD$404,0,$AG$6),"NON-COMPLIED")=1,1,0)))))</f>
        <v>0</v>
      </c>
    </row>
    <row r="405" customFormat="false" ht="15" hidden="false" customHeight="false" outlineLevel="0" collapsed="false">
      <c r="AH405" s="21" t="n">
        <f aca="false">IF($AG$4=0,0,IF($AG$6=0,0,IF(INDEX($A405:$AD405,$AG$4)="",0,IF(INDEX($A405:$AD405,$AG$6)&lt;&gt;"NON-COMPLIED",0,IF(COUNTIFS(INDEX($A$3:$AD$405,0,$AG$4),INDEX($A405:$AD405,$AG$4),INDEX($A$3:$AD$405,0,$AG$6),"NON-COMPLIED")=1,1,0)))))</f>
        <v>0</v>
      </c>
    </row>
    <row r="406" customFormat="false" ht="15" hidden="false" customHeight="false" outlineLevel="0" collapsed="false">
      <c r="AH406" s="21" t="n">
        <f aca="false">IF($AG$4=0,0,IF($AG$6=0,0,IF(INDEX($A406:$AD406,$AG$4)="",0,IF(INDEX($A406:$AD406,$AG$6)&lt;&gt;"NON-COMPLIED",0,IF(COUNTIFS(INDEX($A$3:$AD$406,0,$AG$4),INDEX($A406:$AD406,$AG$4),INDEX($A$3:$AD$406,0,$AG$6),"NON-COMPLIED")=1,1,0)))))</f>
        <v>0</v>
      </c>
    </row>
    <row r="407" customFormat="false" ht="15" hidden="false" customHeight="false" outlineLevel="0" collapsed="false">
      <c r="AH407" s="21" t="n">
        <f aca="false">IF($AG$4=0,0,IF($AG$6=0,0,IF(INDEX($A407:$AD407,$AG$4)="",0,IF(INDEX($A407:$AD407,$AG$6)&lt;&gt;"NON-COMPLIED",0,IF(COUNTIFS(INDEX($A$3:$AD$407,0,$AG$4),INDEX($A407:$AD407,$AG$4),INDEX($A$3:$AD$407,0,$AG$6),"NON-COMPLIED")=1,1,0)))))</f>
        <v>0</v>
      </c>
    </row>
    <row r="408" customFormat="false" ht="15" hidden="false" customHeight="false" outlineLevel="0" collapsed="false">
      <c r="AH408" s="21" t="n">
        <f aca="false">IF($AG$4=0,0,IF($AG$6=0,0,IF(INDEX($A408:$AD408,$AG$4)="",0,IF(INDEX($A408:$AD408,$AG$6)&lt;&gt;"NON-COMPLIED",0,IF(COUNTIFS(INDEX($A$3:$AD$408,0,$AG$4),INDEX($A408:$AD408,$AG$4),INDEX($A$3:$AD$408,0,$AG$6),"NON-COMPLIED")=1,1,0)))))</f>
        <v>0</v>
      </c>
    </row>
    <row r="409" customFormat="false" ht="15" hidden="false" customHeight="false" outlineLevel="0" collapsed="false">
      <c r="AH409" s="21" t="n">
        <f aca="false">IF($AG$4=0,0,IF($AG$6=0,0,IF(INDEX($A409:$AD409,$AG$4)="",0,IF(INDEX($A409:$AD409,$AG$6)&lt;&gt;"NON-COMPLIED",0,IF(COUNTIFS(INDEX($A$3:$AD$409,0,$AG$4),INDEX($A409:$AD409,$AG$4),INDEX($A$3:$AD$409,0,$AG$6),"NON-COMPLIED")=1,1,0)))))</f>
        <v>0</v>
      </c>
    </row>
    <row r="410" customFormat="false" ht="15" hidden="false" customHeight="false" outlineLevel="0" collapsed="false">
      <c r="AH410" s="21" t="n">
        <f aca="false">IF($AG$4=0,0,IF($AG$6=0,0,IF(INDEX($A410:$AD410,$AG$4)="",0,IF(INDEX($A410:$AD410,$AG$6)&lt;&gt;"NON-COMPLIED",0,IF(COUNTIFS(INDEX($A$3:$AD$410,0,$AG$4),INDEX($A410:$AD410,$AG$4),INDEX($A$3:$AD$410,0,$AG$6),"NON-COMPLIED")=1,1,0)))))</f>
        <v>0</v>
      </c>
    </row>
    <row r="411" customFormat="false" ht="15" hidden="false" customHeight="false" outlineLevel="0" collapsed="false">
      <c r="AH411" s="21" t="n">
        <f aca="false">IF($AG$4=0,0,IF($AG$6=0,0,IF(INDEX($A411:$AD411,$AG$4)="",0,IF(INDEX($A411:$AD411,$AG$6)&lt;&gt;"NON-COMPLIED",0,IF(COUNTIFS(INDEX($A$3:$AD$411,0,$AG$4),INDEX($A411:$AD411,$AG$4),INDEX($A$3:$AD$411,0,$AG$6),"NON-COMPLIED")=1,1,0)))))</f>
        <v>0</v>
      </c>
    </row>
    <row r="412" customFormat="false" ht="15" hidden="false" customHeight="false" outlineLevel="0" collapsed="false">
      <c r="AH412" s="21" t="n">
        <f aca="false">IF($AG$4=0,0,IF($AG$6=0,0,IF(INDEX($A412:$AD412,$AG$4)="",0,IF(INDEX($A412:$AD412,$AG$6)&lt;&gt;"NON-COMPLIED",0,IF(COUNTIFS(INDEX($A$3:$AD$412,0,$AG$4),INDEX($A412:$AD412,$AG$4),INDEX($A$3:$AD$412,0,$AG$6),"NON-COMPLIED")=1,1,0)))))</f>
        <v>0</v>
      </c>
    </row>
    <row r="413" customFormat="false" ht="15" hidden="false" customHeight="false" outlineLevel="0" collapsed="false">
      <c r="AH413" s="21" t="n">
        <f aca="false">IF($AG$4=0,0,IF($AG$6=0,0,IF(INDEX($A413:$AD413,$AG$4)="",0,IF(INDEX($A413:$AD413,$AG$6)&lt;&gt;"NON-COMPLIED",0,IF(COUNTIFS(INDEX($A$3:$AD$413,0,$AG$4),INDEX($A413:$AD413,$AG$4),INDEX($A$3:$AD$413,0,$AG$6),"NON-COMPLIED")=1,1,0)))))</f>
        <v>0</v>
      </c>
    </row>
    <row r="414" customFormat="false" ht="15" hidden="false" customHeight="false" outlineLevel="0" collapsed="false">
      <c r="AH414" s="21" t="n">
        <f aca="false">IF($AG$4=0,0,IF($AG$6=0,0,IF(INDEX($A414:$AD414,$AG$4)="",0,IF(INDEX($A414:$AD414,$AG$6)&lt;&gt;"NON-COMPLIED",0,IF(COUNTIFS(INDEX($A$3:$AD$414,0,$AG$4),INDEX($A414:$AD414,$AG$4),INDEX($A$3:$AD$414,0,$AG$6),"NON-COMPLIED")=1,1,0)))))</f>
        <v>0</v>
      </c>
    </row>
    <row r="415" customFormat="false" ht="15" hidden="false" customHeight="false" outlineLevel="0" collapsed="false">
      <c r="AH415" s="21" t="n">
        <f aca="false">IF($AG$4=0,0,IF($AG$6=0,0,IF(INDEX($A415:$AD415,$AG$4)="",0,IF(INDEX($A415:$AD415,$AG$6)&lt;&gt;"NON-COMPLIED",0,IF(COUNTIFS(INDEX($A$3:$AD$415,0,$AG$4),INDEX($A415:$AD415,$AG$4),INDEX($A$3:$AD$415,0,$AG$6),"NON-COMPLIED")=1,1,0)))))</f>
        <v>0</v>
      </c>
    </row>
    <row r="416" customFormat="false" ht="15" hidden="false" customHeight="false" outlineLevel="0" collapsed="false">
      <c r="AH416" s="21" t="n">
        <f aca="false">IF($AG$4=0,0,IF($AG$6=0,0,IF(INDEX($A416:$AD416,$AG$4)="",0,IF(INDEX($A416:$AD416,$AG$6)&lt;&gt;"NON-COMPLIED",0,IF(COUNTIFS(INDEX($A$3:$AD$416,0,$AG$4),INDEX($A416:$AD416,$AG$4),INDEX($A$3:$AD$416,0,$AG$6),"NON-COMPLIED")=1,1,0)))))</f>
        <v>0</v>
      </c>
    </row>
    <row r="417" customFormat="false" ht="15" hidden="false" customHeight="false" outlineLevel="0" collapsed="false">
      <c r="AH417" s="21" t="n">
        <f aca="false">IF($AG$4=0,0,IF($AG$6=0,0,IF(INDEX($A417:$AD417,$AG$4)="",0,IF(INDEX($A417:$AD417,$AG$6)&lt;&gt;"NON-COMPLIED",0,IF(COUNTIFS(INDEX($A$3:$AD$417,0,$AG$4),INDEX($A417:$AD417,$AG$4),INDEX($A$3:$AD$417,0,$AG$6),"NON-COMPLIED")=1,1,0)))))</f>
        <v>0</v>
      </c>
    </row>
    <row r="418" customFormat="false" ht="15" hidden="false" customHeight="false" outlineLevel="0" collapsed="false">
      <c r="AH418" s="21" t="n">
        <f aca="false">IF($AG$4=0,0,IF($AG$6=0,0,IF(INDEX($A418:$AD418,$AG$4)="",0,IF(INDEX($A418:$AD418,$AG$6)&lt;&gt;"NON-COMPLIED",0,IF(COUNTIFS(INDEX($A$3:$AD$418,0,$AG$4),INDEX($A418:$AD418,$AG$4),INDEX($A$3:$AD$418,0,$AG$6),"NON-COMPLIED")=1,1,0)))))</f>
        <v>0</v>
      </c>
    </row>
    <row r="419" customFormat="false" ht="15" hidden="false" customHeight="false" outlineLevel="0" collapsed="false">
      <c r="AH419" s="21" t="n">
        <f aca="false">IF($AG$4=0,0,IF($AG$6=0,0,IF(INDEX($A419:$AD419,$AG$4)="",0,IF(INDEX($A419:$AD419,$AG$6)&lt;&gt;"NON-COMPLIED",0,IF(COUNTIFS(INDEX($A$3:$AD$419,0,$AG$4),INDEX($A419:$AD419,$AG$4),INDEX($A$3:$AD$419,0,$AG$6),"NON-COMPLIED")=1,1,0)))))</f>
        <v>0</v>
      </c>
    </row>
    <row r="420" customFormat="false" ht="15" hidden="false" customHeight="false" outlineLevel="0" collapsed="false">
      <c r="AH420" s="21" t="n">
        <f aca="false">IF($AG$4=0,0,IF($AG$6=0,0,IF(INDEX($A420:$AD420,$AG$4)="",0,IF(INDEX($A420:$AD420,$AG$6)&lt;&gt;"NON-COMPLIED",0,IF(COUNTIFS(INDEX($A$3:$AD$420,0,$AG$4),INDEX($A420:$AD420,$AG$4),INDEX($A$3:$AD$420,0,$AG$6),"NON-COMPLIED")=1,1,0)))))</f>
        <v>0</v>
      </c>
    </row>
    <row r="421" customFormat="false" ht="15" hidden="false" customHeight="false" outlineLevel="0" collapsed="false">
      <c r="AH421" s="21" t="n">
        <f aca="false">IF($AG$4=0,0,IF($AG$6=0,0,IF(INDEX($A421:$AD421,$AG$4)="",0,IF(INDEX($A421:$AD421,$AG$6)&lt;&gt;"NON-COMPLIED",0,IF(COUNTIFS(INDEX($A$3:$AD$421,0,$AG$4),INDEX($A421:$AD421,$AG$4),INDEX($A$3:$AD$421,0,$AG$6),"NON-COMPLIED")=1,1,0)))))</f>
        <v>0</v>
      </c>
    </row>
    <row r="422" customFormat="false" ht="15" hidden="false" customHeight="false" outlineLevel="0" collapsed="false">
      <c r="AH422" s="21" t="n">
        <f aca="false">IF($AG$4=0,0,IF($AG$6=0,0,IF(INDEX($A422:$AD422,$AG$4)="",0,IF(INDEX($A422:$AD422,$AG$6)&lt;&gt;"NON-COMPLIED",0,IF(COUNTIFS(INDEX($A$3:$AD$422,0,$AG$4),INDEX($A422:$AD422,$AG$4),INDEX($A$3:$AD$422,0,$AG$6),"NON-COMPLIED")=1,1,0)))))</f>
        <v>0</v>
      </c>
    </row>
    <row r="423" customFormat="false" ht="15" hidden="false" customHeight="false" outlineLevel="0" collapsed="false">
      <c r="AH423" s="21" t="n">
        <f aca="false">IF($AG$4=0,0,IF($AG$6=0,0,IF(INDEX($A423:$AD423,$AG$4)="",0,IF(INDEX($A423:$AD423,$AG$6)&lt;&gt;"NON-COMPLIED",0,IF(COUNTIFS(INDEX($A$3:$AD$423,0,$AG$4),INDEX($A423:$AD423,$AG$4),INDEX($A$3:$AD$423,0,$AG$6),"NON-COMPLIED")=1,1,0)))))</f>
        <v>0</v>
      </c>
    </row>
    <row r="424" customFormat="false" ht="15" hidden="false" customHeight="false" outlineLevel="0" collapsed="false">
      <c r="AH424" s="21" t="n">
        <f aca="false">IF($AG$4=0,0,IF($AG$6=0,0,IF(INDEX($A424:$AD424,$AG$4)="",0,IF(INDEX($A424:$AD424,$AG$6)&lt;&gt;"NON-COMPLIED",0,IF(COUNTIFS(INDEX($A$3:$AD$424,0,$AG$4),INDEX($A424:$AD424,$AG$4),INDEX($A$3:$AD$424,0,$AG$6),"NON-COMPLIED")=1,1,0)))))</f>
        <v>0</v>
      </c>
    </row>
    <row r="425" customFormat="false" ht="15" hidden="false" customHeight="false" outlineLevel="0" collapsed="false">
      <c r="AH425" s="21" t="n">
        <f aca="false">IF($AG$4=0,0,IF($AG$6=0,0,IF(INDEX($A425:$AD425,$AG$4)="",0,IF(INDEX($A425:$AD425,$AG$6)&lt;&gt;"NON-COMPLIED",0,IF(COUNTIFS(INDEX($A$3:$AD$425,0,$AG$4),INDEX($A425:$AD425,$AG$4),INDEX($A$3:$AD$425,0,$AG$6),"NON-COMPLIED")=1,1,0)))))</f>
        <v>0</v>
      </c>
    </row>
    <row r="426" customFormat="false" ht="15" hidden="false" customHeight="false" outlineLevel="0" collapsed="false">
      <c r="AH426" s="21" t="n">
        <f aca="false">IF($AG$4=0,0,IF($AG$6=0,0,IF(INDEX($A426:$AD426,$AG$4)="",0,IF(INDEX($A426:$AD426,$AG$6)&lt;&gt;"NON-COMPLIED",0,IF(COUNTIFS(INDEX($A$3:$AD$426,0,$AG$4),INDEX($A426:$AD426,$AG$4),INDEX($A$3:$AD$426,0,$AG$6),"NON-COMPLIED")=1,1,0)))))</f>
        <v>0</v>
      </c>
    </row>
    <row r="427" customFormat="false" ht="15" hidden="false" customHeight="false" outlineLevel="0" collapsed="false">
      <c r="AH427" s="21" t="n">
        <f aca="false">IF($AG$4=0,0,IF($AG$6=0,0,IF(INDEX($A427:$AD427,$AG$4)="",0,IF(INDEX($A427:$AD427,$AG$6)&lt;&gt;"NON-COMPLIED",0,IF(COUNTIFS(INDEX($A$3:$AD$427,0,$AG$4),INDEX($A427:$AD427,$AG$4),INDEX($A$3:$AD$427,0,$AG$6),"NON-COMPLIED")=1,1,0)))))</f>
        <v>0</v>
      </c>
    </row>
    <row r="428" customFormat="false" ht="15" hidden="false" customHeight="false" outlineLevel="0" collapsed="false">
      <c r="AH428" s="21" t="n">
        <f aca="false">IF($AG$4=0,0,IF($AG$6=0,0,IF(INDEX($A428:$AD428,$AG$4)="",0,IF(INDEX($A428:$AD428,$AG$6)&lt;&gt;"NON-COMPLIED",0,IF(COUNTIFS(INDEX($A$3:$AD$428,0,$AG$4),INDEX($A428:$AD428,$AG$4),INDEX($A$3:$AD$428,0,$AG$6),"NON-COMPLIED")=1,1,0)))))</f>
        <v>0</v>
      </c>
    </row>
    <row r="429" customFormat="false" ht="15" hidden="false" customHeight="false" outlineLevel="0" collapsed="false">
      <c r="AH429" s="21" t="n">
        <f aca="false">IF($AG$4=0,0,IF($AG$6=0,0,IF(INDEX($A429:$AD429,$AG$4)="",0,IF(INDEX($A429:$AD429,$AG$6)&lt;&gt;"NON-COMPLIED",0,IF(COUNTIFS(INDEX($A$3:$AD$429,0,$AG$4),INDEX($A429:$AD429,$AG$4),INDEX($A$3:$AD$429,0,$AG$6),"NON-COMPLIED")=1,1,0)))))</f>
        <v>0</v>
      </c>
    </row>
    <row r="430" customFormat="false" ht="15" hidden="false" customHeight="false" outlineLevel="0" collapsed="false">
      <c r="AH430" s="21" t="n">
        <f aca="false">IF($AG$4=0,0,IF($AG$6=0,0,IF(INDEX($A430:$AD430,$AG$4)="",0,IF(INDEX($A430:$AD430,$AG$6)&lt;&gt;"NON-COMPLIED",0,IF(COUNTIFS(INDEX($A$3:$AD$430,0,$AG$4),INDEX($A430:$AD430,$AG$4),INDEX($A$3:$AD$430,0,$AG$6),"NON-COMPLIED")=1,1,0)))))</f>
        <v>0</v>
      </c>
    </row>
    <row r="431" customFormat="false" ht="15" hidden="false" customHeight="false" outlineLevel="0" collapsed="false">
      <c r="AH431" s="21" t="n">
        <f aca="false">IF($AG$4=0,0,IF($AG$6=0,0,IF(INDEX($A431:$AD431,$AG$4)="",0,IF(INDEX($A431:$AD431,$AG$6)&lt;&gt;"NON-COMPLIED",0,IF(COUNTIFS(INDEX($A$3:$AD$431,0,$AG$4),INDEX($A431:$AD431,$AG$4),INDEX($A$3:$AD$431,0,$AG$6),"NON-COMPLIED")=1,1,0)))))</f>
        <v>0</v>
      </c>
    </row>
    <row r="432" customFormat="false" ht="15" hidden="false" customHeight="false" outlineLevel="0" collapsed="false">
      <c r="AH432" s="21" t="n">
        <f aca="false">IF($AG$4=0,0,IF($AG$6=0,0,IF(INDEX($A432:$AD432,$AG$4)="",0,IF(INDEX($A432:$AD432,$AG$6)&lt;&gt;"NON-COMPLIED",0,IF(COUNTIFS(INDEX($A$3:$AD$432,0,$AG$4),INDEX($A432:$AD432,$AG$4),INDEX($A$3:$AD$432,0,$AG$6),"NON-COMPLIED")=1,1,0)))))</f>
        <v>0</v>
      </c>
    </row>
    <row r="433" customFormat="false" ht="15" hidden="false" customHeight="false" outlineLevel="0" collapsed="false">
      <c r="AH433" s="21" t="n">
        <f aca="false">IF($AG$4=0,0,IF($AG$6=0,0,IF(INDEX($A433:$AD433,$AG$4)="",0,IF(INDEX($A433:$AD433,$AG$6)&lt;&gt;"NON-COMPLIED",0,IF(COUNTIFS(INDEX($A$3:$AD$433,0,$AG$4),INDEX($A433:$AD433,$AG$4),INDEX($A$3:$AD$433,0,$AG$6),"NON-COMPLIED")=1,1,0)))))</f>
        <v>0</v>
      </c>
    </row>
    <row r="434" customFormat="false" ht="15" hidden="false" customHeight="false" outlineLevel="0" collapsed="false">
      <c r="AH434" s="21" t="n">
        <f aca="false">IF($AG$4=0,0,IF($AG$6=0,0,IF(INDEX($A434:$AD434,$AG$4)="",0,IF(INDEX($A434:$AD434,$AG$6)&lt;&gt;"NON-COMPLIED",0,IF(COUNTIFS(INDEX($A$3:$AD$434,0,$AG$4),INDEX($A434:$AD434,$AG$4),INDEX($A$3:$AD$434,0,$AG$6),"NON-COMPLIED")=1,1,0)))))</f>
        <v>0</v>
      </c>
    </row>
    <row r="435" customFormat="false" ht="15" hidden="false" customHeight="false" outlineLevel="0" collapsed="false">
      <c r="AH435" s="21" t="n">
        <f aca="false">IF($AG$4=0,0,IF($AG$6=0,0,IF(INDEX($A435:$AD435,$AG$4)="",0,IF(INDEX($A435:$AD435,$AG$6)&lt;&gt;"NON-COMPLIED",0,IF(COUNTIFS(INDEX($A$3:$AD$435,0,$AG$4),INDEX($A435:$AD435,$AG$4),INDEX($A$3:$AD$435,0,$AG$6),"NON-COMPLIED")=1,1,0)))))</f>
        <v>0</v>
      </c>
    </row>
    <row r="436" customFormat="false" ht="15" hidden="false" customHeight="false" outlineLevel="0" collapsed="false">
      <c r="AH436" s="21" t="n">
        <f aca="false">IF($AG$4=0,0,IF($AG$6=0,0,IF(INDEX($A436:$AD436,$AG$4)="",0,IF(INDEX($A436:$AD436,$AG$6)&lt;&gt;"NON-COMPLIED",0,IF(COUNTIFS(INDEX($A$3:$AD$436,0,$AG$4),INDEX($A436:$AD436,$AG$4),INDEX($A$3:$AD$436,0,$AG$6),"NON-COMPLIED")=1,1,0)))))</f>
        <v>0</v>
      </c>
    </row>
    <row r="437" customFormat="false" ht="15" hidden="false" customHeight="false" outlineLevel="0" collapsed="false">
      <c r="AH437" s="21" t="n">
        <f aca="false">IF($AG$4=0,0,IF($AG$6=0,0,IF(INDEX($A437:$AD437,$AG$4)="",0,IF(INDEX($A437:$AD437,$AG$6)&lt;&gt;"NON-COMPLIED",0,IF(COUNTIFS(INDEX($A$3:$AD$437,0,$AG$4),INDEX($A437:$AD437,$AG$4),INDEX($A$3:$AD$437,0,$AG$6),"NON-COMPLIED")=1,1,0)))))</f>
        <v>0</v>
      </c>
    </row>
    <row r="438" customFormat="false" ht="15" hidden="false" customHeight="false" outlineLevel="0" collapsed="false">
      <c r="AH438" s="21" t="n">
        <f aca="false">IF($AG$4=0,0,IF($AG$6=0,0,IF(INDEX($A438:$AD438,$AG$4)="",0,IF(INDEX($A438:$AD438,$AG$6)&lt;&gt;"NON-COMPLIED",0,IF(COUNTIFS(INDEX($A$3:$AD$438,0,$AG$4),INDEX($A438:$AD438,$AG$4),INDEX($A$3:$AD$438,0,$AG$6),"NON-COMPLIED")=1,1,0)))))</f>
        <v>0</v>
      </c>
    </row>
    <row r="439" customFormat="false" ht="15" hidden="false" customHeight="false" outlineLevel="0" collapsed="false">
      <c r="AH439" s="21" t="n">
        <f aca="false">IF($AG$4=0,0,IF($AG$6=0,0,IF(INDEX($A439:$AD439,$AG$4)="",0,IF(INDEX($A439:$AD439,$AG$6)&lt;&gt;"NON-COMPLIED",0,IF(COUNTIFS(INDEX($A$3:$AD$439,0,$AG$4),INDEX($A439:$AD439,$AG$4),INDEX($A$3:$AD$439,0,$AG$6),"NON-COMPLIED")=1,1,0)))))</f>
        <v>0</v>
      </c>
    </row>
    <row r="440" customFormat="false" ht="15" hidden="false" customHeight="false" outlineLevel="0" collapsed="false">
      <c r="AH440" s="21" t="n">
        <f aca="false">IF($AG$4=0,0,IF($AG$6=0,0,IF(INDEX($A440:$AD440,$AG$4)="",0,IF(INDEX($A440:$AD440,$AG$6)&lt;&gt;"NON-COMPLIED",0,IF(COUNTIFS(INDEX($A$3:$AD$440,0,$AG$4),INDEX($A440:$AD440,$AG$4),INDEX($A$3:$AD$440,0,$AG$6),"NON-COMPLIED")=1,1,0)))))</f>
        <v>0</v>
      </c>
    </row>
    <row r="441" customFormat="false" ht="15" hidden="false" customHeight="false" outlineLevel="0" collapsed="false">
      <c r="AH441" s="21" t="n">
        <f aca="false">IF($AG$4=0,0,IF($AG$6=0,0,IF(INDEX($A441:$AD441,$AG$4)="",0,IF(INDEX($A441:$AD441,$AG$6)&lt;&gt;"NON-COMPLIED",0,IF(COUNTIFS(INDEX($A$3:$AD$441,0,$AG$4),INDEX($A441:$AD441,$AG$4),INDEX($A$3:$AD$441,0,$AG$6),"NON-COMPLIED")=1,1,0)))))</f>
        <v>0</v>
      </c>
    </row>
    <row r="442" customFormat="false" ht="15" hidden="false" customHeight="false" outlineLevel="0" collapsed="false">
      <c r="AH442" s="21" t="n">
        <f aca="false">IF($AG$4=0,0,IF($AG$6=0,0,IF(INDEX($A442:$AD442,$AG$4)="",0,IF(INDEX($A442:$AD442,$AG$6)&lt;&gt;"NON-COMPLIED",0,IF(COUNTIFS(INDEX($A$3:$AD$442,0,$AG$4),INDEX($A442:$AD442,$AG$4),INDEX($A$3:$AD$442,0,$AG$6),"NON-COMPLIED")=1,1,0)))))</f>
        <v>0</v>
      </c>
    </row>
    <row r="443" customFormat="false" ht="15" hidden="false" customHeight="false" outlineLevel="0" collapsed="false">
      <c r="AH443" s="21" t="n">
        <f aca="false">IF($AG$4=0,0,IF($AG$6=0,0,IF(INDEX($A443:$AD443,$AG$4)="",0,IF(INDEX($A443:$AD443,$AG$6)&lt;&gt;"NON-COMPLIED",0,IF(COUNTIFS(INDEX($A$3:$AD$443,0,$AG$4),INDEX($A443:$AD443,$AG$4),INDEX($A$3:$AD$443,0,$AG$6),"NON-COMPLIED")=1,1,0)))))</f>
        <v>0</v>
      </c>
    </row>
    <row r="444" customFormat="false" ht="15" hidden="false" customHeight="false" outlineLevel="0" collapsed="false">
      <c r="AH444" s="21" t="n">
        <f aca="false">IF($AG$4=0,0,IF($AG$6=0,0,IF(INDEX($A444:$AD444,$AG$4)="",0,IF(INDEX($A444:$AD444,$AG$6)&lt;&gt;"NON-COMPLIED",0,IF(COUNTIFS(INDEX($A$3:$AD$444,0,$AG$4),INDEX($A444:$AD444,$AG$4),INDEX($A$3:$AD$444,0,$AG$6),"NON-COMPLIED")=1,1,0)))))</f>
        <v>0</v>
      </c>
    </row>
    <row r="445" customFormat="false" ht="15" hidden="false" customHeight="false" outlineLevel="0" collapsed="false">
      <c r="AH445" s="21" t="n">
        <f aca="false">IF($AG$4=0,0,IF($AG$6=0,0,IF(INDEX($A445:$AD445,$AG$4)="",0,IF(INDEX($A445:$AD445,$AG$6)&lt;&gt;"NON-COMPLIED",0,IF(COUNTIFS(INDEX($A$3:$AD$445,0,$AG$4),INDEX($A445:$AD445,$AG$4),INDEX($A$3:$AD$445,0,$AG$6),"NON-COMPLIED")=1,1,0)))))</f>
        <v>0</v>
      </c>
    </row>
    <row r="446" customFormat="false" ht="15" hidden="false" customHeight="false" outlineLevel="0" collapsed="false">
      <c r="AH446" s="21" t="n">
        <f aca="false">IF($AG$4=0,0,IF($AG$6=0,0,IF(INDEX($A446:$AD446,$AG$4)="",0,IF(INDEX($A446:$AD446,$AG$6)&lt;&gt;"NON-COMPLIED",0,IF(COUNTIFS(INDEX($A$3:$AD$446,0,$AG$4),INDEX($A446:$AD446,$AG$4),INDEX($A$3:$AD$446,0,$AG$6),"NON-COMPLIED")=1,1,0)))))</f>
        <v>0</v>
      </c>
    </row>
    <row r="447" customFormat="false" ht="15" hidden="false" customHeight="false" outlineLevel="0" collapsed="false">
      <c r="AH447" s="21" t="n">
        <f aca="false">IF($AG$4=0,0,IF($AG$6=0,0,IF(INDEX($A447:$AD447,$AG$4)="",0,IF(INDEX($A447:$AD447,$AG$6)&lt;&gt;"NON-COMPLIED",0,IF(COUNTIFS(INDEX($A$3:$AD$447,0,$AG$4),INDEX($A447:$AD447,$AG$4),INDEX($A$3:$AD$447,0,$AG$6),"NON-COMPLIED")=1,1,0)))))</f>
        <v>0</v>
      </c>
    </row>
    <row r="448" customFormat="false" ht="15" hidden="false" customHeight="false" outlineLevel="0" collapsed="false">
      <c r="AH448" s="21" t="n">
        <f aca="false">IF($AG$4=0,0,IF($AG$6=0,0,IF(INDEX($A448:$AD448,$AG$4)="",0,IF(INDEX($A448:$AD448,$AG$6)&lt;&gt;"NON-COMPLIED",0,IF(COUNTIFS(INDEX($A$3:$AD$448,0,$AG$4),INDEX($A448:$AD448,$AG$4),INDEX($A$3:$AD$448,0,$AG$6),"NON-COMPLIED")=1,1,0)))))</f>
        <v>0</v>
      </c>
    </row>
    <row r="449" customFormat="false" ht="15" hidden="false" customHeight="false" outlineLevel="0" collapsed="false">
      <c r="AH449" s="21" t="n">
        <f aca="false">IF($AG$4=0,0,IF($AG$6=0,0,IF(INDEX($A449:$AD449,$AG$4)="",0,IF(INDEX($A449:$AD449,$AG$6)&lt;&gt;"NON-COMPLIED",0,IF(COUNTIFS(INDEX($A$3:$AD$449,0,$AG$4),INDEX($A449:$AD449,$AG$4),INDEX($A$3:$AD$449,0,$AG$6),"NON-COMPLIED")=1,1,0)))))</f>
        <v>0</v>
      </c>
    </row>
    <row r="450" customFormat="false" ht="15" hidden="false" customHeight="false" outlineLevel="0" collapsed="false">
      <c r="AH450" s="21" t="n">
        <f aca="false">IF($AG$4=0,0,IF($AG$6=0,0,IF(INDEX($A450:$AD450,$AG$4)="",0,IF(INDEX($A450:$AD450,$AG$6)&lt;&gt;"NON-COMPLIED",0,IF(COUNTIFS(INDEX($A$3:$AD$450,0,$AG$4),INDEX($A450:$AD450,$AG$4),INDEX($A$3:$AD$450,0,$AG$6),"NON-COMPLIED")=1,1,0)))))</f>
        <v>0</v>
      </c>
    </row>
    <row r="451" customFormat="false" ht="15" hidden="false" customHeight="false" outlineLevel="0" collapsed="false">
      <c r="AH451" s="21" t="n">
        <f aca="false">IF($AG$4=0,0,IF($AG$6=0,0,IF(INDEX($A451:$AD451,$AG$4)="",0,IF(INDEX($A451:$AD451,$AG$6)&lt;&gt;"NON-COMPLIED",0,IF(COUNTIFS(INDEX($A$3:$AD$451,0,$AG$4),INDEX($A451:$AD451,$AG$4),INDEX($A$3:$AD$451,0,$AG$6),"NON-COMPLIED")=1,1,0)))))</f>
        <v>0</v>
      </c>
    </row>
    <row r="452" customFormat="false" ht="15" hidden="false" customHeight="false" outlineLevel="0" collapsed="false">
      <c r="AH452" s="21" t="n">
        <f aca="false">IF($AG$4=0,0,IF($AG$6=0,0,IF(INDEX($A452:$AD452,$AG$4)="",0,IF(INDEX($A452:$AD452,$AG$6)&lt;&gt;"NON-COMPLIED",0,IF(COUNTIFS(INDEX($A$3:$AD$452,0,$AG$4),INDEX($A452:$AD452,$AG$4),INDEX($A$3:$AD$452,0,$AG$6),"NON-COMPLIED")=1,1,0)))))</f>
        <v>0</v>
      </c>
    </row>
    <row r="453" customFormat="false" ht="15" hidden="false" customHeight="false" outlineLevel="0" collapsed="false">
      <c r="AH453" s="21" t="n">
        <f aca="false">IF($AG$4=0,0,IF($AG$6=0,0,IF(INDEX($A453:$AD453,$AG$4)="",0,IF(INDEX($A453:$AD453,$AG$6)&lt;&gt;"NON-COMPLIED",0,IF(COUNTIFS(INDEX($A$3:$AD$453,0,$AG$4),INDEX($A453:$AD453,$AG$4),INDEX($A$3:$AD$453,0,$AG$6),"NON-COMPLIED")=1,1,0)))))</f>
        <v>0</v>
      </c>
    </row>
    <row r="454" customFormat="false" ht="15" hidden="false" customHeight="false" outlineLevel="0" collapsed="false">
      <c r="AH454" s="21" t="n">
        <f aca="false">IF($AG$4=0,0,IF($AG$6=0,0,IF(INDEX($A454:$AD454,$AG$4)="",0,IF(INDEX($A454:$AD454,$AG$6)&lt;&gt;"NON-COMPLIED",0,IF(COUNTIFS(INDEX($A$3:$AD$454,0,$AG$4),INDEX($A454:$AD454,$AG$4),INDEX($A$3:$AD$454,0,$AG$6),"NON-COMPLIED")=1,1,0)))))</f>
        <v>0</v>
      </c>
    </row>
    <row r="455" customFormat="false" ht="15" hidden="false" customHeight="false" outlineLevel="0" collapsed="false">
      <c r="AH455" s="21" t="n">
        <f aca="false">IF($AG$4=0,0,IF($AG$6=0,0,IF(INDEX($A455:$AD455,$AG$4)="",0,IF(INDEX($A455:$AD455,$AG$6)&lt;&gt;"NON-COMPLIED",0,IF(COUNTIFS(INDEX($A$3:$AD$455,0,$AG$4),INDEX($A455:$AD455,$AG$4),INDEX($A$3:$AD$455,0,$AG$6),"NON-COMPLIED")=1,1,0)))))</f>
        <v>0</v>
      </c>
    </row>
    <row r="456" customFormat="false" ht="15" hidden="false" customHeight="false" outlineLevel="0" collapsed="false">
      <c r="AH456" s="21" t="n">
        <f aca="false">IF($AG$4=0,0,IF($AG$6=0,0,IF(INDEX($A456:$AD456,$AG$4)="",0,IF(INDEX($A456:$AD456,$AG$6)&lt;&gt;"NON-COMPLIED",0,IF(COUNTIFS(INDEX($A$3:$AD$456,0,$AG$4),INDEX($A456:$AD456,$AG$4),INDEX($A$3:$AD$456,0,$AG$6),"NON-COMPLIED")=1,1,0)))))</f>
        <v>0</v>
      </c>
    </row>
    <row r="457" customFormat="false" ht="15" hidden="false" customHeight="false" outlineLevel="0" collapsed="false">
      <c r="AH457" s="21" t="n">
        <f aca="false">IF($AG$4=0,0,IF($AG$6=0,0,IF(INDEX($A457:$AD457,$AG$4)="",0,IF(INDEX($A457:$AD457,$AG$6)&lt;&gt;"NON-COMPLIED",0,IF(COUNTIFS(INDEX($A$3:$AD$457,0,$AG$4),INDEX($A457:$AD457,$AG$4),INDEX($A$3:$AD$457,0,$AG$6),"NON-COMPLIED")=1,1,0)))))</f>
        <v>0</v>
      </c>
    </row>
    <row r="458" customFormat="false" ht="15" hidden="false" customHeight="false" outlineLevel="0" collapsed="false">
      <c r="AH458" s="21" t="n">
        <f aca="false">IF($AG$4=0,0,IF($AG$6=0,0,IF(INDEX($A458:$AD458,$AG$4)="",0,IF(INDEX($A458:$AD458,$AG$6)&lt;&gt;"NON-COMPLIED",0,IF(COUNTIFS(INDEX($A$3:$AD$458,0,$AG$4),INDEX($A458:$AD458,$AG$4),INDEX($A$3:$AD$458,0,$AG$6),"NON-COMPLIED")=1,1,0)))))</f>
        <v>0</v>
      </c>
    </row>
    <row r="459" customFormat="false" ht="15" hidden="false" customHeight="false" outlineLevel="0" collapsed="false">
      <c r="AH459" s="21" t="n">
        <f aca="false">IF($AG$4=0,0,IF($AG$6=0,0,IF(INDEX($A459:$AD459,$AG$4)="",0,IF(INDEX($A459:$AD459,$AG$6)&lt;&gt;"NON-COMPLIED",0,IF(COUNTIFS(INDEX($A$3:$AD$459,0,$AG$4),INDEX($A459:$AD459,$AG$4),INDEX($A$3:$AD$459,0,$AG$6),"NON-COMPLIED")=1,1,0)))))</f>
        <v>0</v>
      </c>
    </row>
    <row r="460" customFormat="false" ht="15" hidden="false" customHeight="false" outlineLevel="0" collapsed="false">
      <c r="AH460" s="21" t="n">
        <f aca="false">IF($AG$4=0,0,IF($AG$6=0,0,IF(INDEX($A460:$AD460,$AG$4)="",0,IF(INDEX($A460:$AD460,$AG$6)&lt;&gt;"NON-COMPLIED",0,IF(COUNTIFS(INDEX($A$3:$AD$460,0,$AG$4),INDEX($A460:$AD460,$AG$4),INDEX($A$3:$AD$460,0,$AG$6),"NON-COMPLIED")=1,1,0)))))</f>
        <v>0</v>
      </c>
    </row>
    <row r="461" customFormat="false" ht="15" hidden="false" customHeight="false" outlineLevel="0" collapsed="false">
      <c r="AH461" s="21" t="n">
        <f aca="false">IF($AG$4=0,0,IF($AG$6=0,0,IF(INDEX($A461:$AD461,$AG$4)="",0,IF(INDEX($A461:$AD461,$AG$6)&lt;&gt;"NON-COMPLIED",0,IF(COUNTIFS(INDEX($A$3:$AD$461,0,$AG$4),INDEX($A461:$AD461,$AG$4),INDEX($A$3:$AD$461,0,$AG$6),"NON-COMPLIED")=1,1,0)))))</f>
        <v>0</v>
      </c>
    </row>
    <row r="462" customFormat="false" ht="15" hidden="false" customHeight="false" outlineLevel="0" collapsed="false">
      <c r="AH462" s="21" t="n">
        <f aca="false">IF($AG$4=0,0,IF($AG$6=0,0,IF(INDEX($A462:$AD462,$AG$4)="",0,IF(INDEX($A462:$AD462,$AG$6)&lt;&gt;"NON-COMPLIED",0,IF(COUNTIFS(INDEX($A$3:$AD$462,0,$AG$4),INDEX($A462:$AD462,$AG$4),INDEX($A$3:$AD$462,0,$AG$6),"NON-COMPLIED")=1,1,0)))))</f>
        <v>0</v>
      </c>
    </row>
    <row r="463" customFormat="false" ht="15" hidden="false" customHeight="false" outlineLevel="0" collapsed="false">
      <c r="AH463" s="21" t="n">
        <f aca="false">IF($AG$4=0,0,IF($AG$6=0,0,IF(INDEX($A463:$AD463,$AG$4)="",0,IF(INDEX($A463:$AD463,$AG$6)&lt;&gt;"NON-COMPLIED",0,IF(COUNTIFS(INDEX($A$3:$AD$463,0,$AG$4),INDEX($A463:$AD463,$AG$4),INDEX($A$3:$AD$463,0,$AG$6),"NON-COMPLIED")=1,1,0)))))</f>
        <v>0</v>
      </c>
    </row>
    <row r="464" customFormat="false" ht="15" hidden="false" customHeight="false" outlineLevel="0" collapsed="false">
      <c r="AH464" s="21" t="n">
        <f aca="false">IF($AG$4=0,0,IF($AG$6=0,0,IF(INDEX($A464:$AD464,$AG$4)="",0,IF(INDEX($A464:$AD464,$AG$6)&lt;&gt;"NON-COMPLIED",0,IF(COUNTIFS(INDEX($A$3:$AD$464,0,$AG$4),INDEX($A464:$AD464,$AG$4),INDEX($A$3:$AD$464,0,$AG$6),"NON-COMPLIED")=1,1,0)))))</f>
        <v>0</v>
      </c>
    </row>
    <row r="465" customFormat="false" ht="15" hidden="false" customHeight="false" outlineLevel="0" collapsed="false">
      <c r="AH465" s="21" t="n">
        <f aca="false">IF($AG$4=0,0,IF($AG$6=0,0,IF(INDEX($A465:$AD465,$AG$4)="",0,IF(INDEX($A465:$AD465,$AG$6)&lt;&gt;"NON-COMPLIED",0,IF(COUNTIFS(INDEX($A$3:$AD$465,0,$AG$4),INDEX($A465:$AD465,$AG$4),INDEX($A$3:$AD$465,0,$AG$6),"NON-COMPLIED")=1,1,0)))))</f>
        <v>0</v>
      </c>
    </row>
    <row r="466" customFormat="false" ht="15" hidden="false" customHeight="false" outlineLevel="0" collapsed="false">
      <c r="AH466" s="21" t="n">
        <f aca="false">IF($AG$4=0,0,IF($AG$6=0,0,IF(INDEX($A466:$AD466,$AG$4)="",0,IF(INDEX($A466:$AD466,$AG$6)&lt;&gt;"NON-COMPLIED",0,IF(COUNTIFS(INDEX($A$3:$AD$466,0,$AG$4),INDEX($A466:$AD466,$AG$4),INDEX($A$3:$AD$466,0,$AG$6),"NON-COMPLIED")=1,1,0)))))</f>
        <v>0</v>
      </c>
    </row>
    <row r="467" customFormat="false" ht="15" hidden="false" customHeight="false" outlineLevel="0" collapsed="false">
      <c r="AH467" s="21" t="n">
        <f aca="false">IF($AG$4=0,0,IF($AG$6=0,0,IF(INDEX($A467:$AD467,$AG$4)="",0,IF(INDEX($A467:$AD467,$AG$6)&lt;&gt;"NON-COMPLIED",0,IF(COUNTIFS(INDEX($A$3:$AD$467,0,$AG$4),INDEX($A467:$AD467,$AG$4),INDEX($A$3:$AD$467,0,$AG$6),"NON-COMPLIED")=1,1,0)))))</f>
        <v>0</v>
      </c>
    </row>
    <row r="468" customFormat="false" ht="15" hidden="false" customHeight="false" outlineLevel="0" collapsed="false">
      <c r="AH468" s="21" t="n">
        <f aca="false">IF($AG$4=0,0,IF($AG$6=0,0,IF(INDEX($A468:$AD468,$AG$4)="",0,IF(INDEX($A468:$AD468,$AG$6)&lt;&gt;"NON-COMPLIED",0,IF(COUNTIFS(INDEX($A$3:$AD$468,0,$AG$4),INDEX($A468:$AD468,$AG$4),INDEX($A$3:$AD$468,0,$AG$6),"NON-COMPLIED")=1,1,0)))))</f>
        <v>0</v>
      </c>
    </row>
    <row r="469" customFormat="false" ht="15" hidden="false" customHeight="false" outlineLevel="0" collapsed="false">
      <c r="AH469" s="21" t="n">
        <f aca="false">IF($AG$4=0,0,IF($AG$6=0,0,IF(INDEX($A469:$AD469,$AG$4)="",0,IF(INDEX($A469:$AD469,$AG$6)&lt;&gt;"NON-COMPLIED",0,IF(COUNTIFS(INDEX($A$3:$AD$469,0,$AG$4),INDEX($A469:$AD469,$AG$4),INDEX($A$3:$AD$469,0,$AG$6),"NON-COMPLIED")=1,1,0)))))</f>
        <v>0</v>
      </c>
    </row>
    <row r="470" customFormat="false" ht="15" hidden="false" customHeight="false" outlineLevel="0" collapsed="false">
      <c r="AH470" s="21" t="n">
        <f aca="false">IF($AG$4=0,0,IF($AG$6=0,0,IF(INDEX($A470:$AD470,$AG$4)="",0,IF(INDEX($A470:$AD470,$AG$6)&lt;&gt;"NON-COMPLIED",0,IF(COUNTIFS(INDEX($A$3:$AD$470,0,$AG$4),INDEX($A470:$AD470,$AG$4),INDEX($A$3:$AD$470,0,$AG$6),"NON-COMPLIED")=1,1,0)))))</f>
        <v>0</v>
      </c>
    </row>
    <row r="471" customFormat="false" ht="15" hidden="false" customHeight="false" outlineLevel="0" collapsed="false">
      <c r="AH471" s="21" t="n">
        <f aca="false">IF($AG$4=0,0,IF($AG$6=0,0,IF(INDEX($A471:$AD471,$AG$4)="",0,IF(INDEX($A471:$AD471,$AG$6)&lt;&gt;"NON-COMPLIED",0,IF(COUNTIFS(INDEX($A$3:$AD$471,0,$AG$4),INDEX($A471:$AD471,$AG$4),INDEX($A$3:$AD$471,0,$AG$6),"NON-COMPLIED")=1,1,0)))))</f>
        <v>0</v>
      </c>
    </row>
    <row r="472" customFormat="false" ht="15" hidden="false" customHeight="false" outlineLevel="0" collapsed="false">
      <c r="AH472" s="21" t="n">
        <f aca="false">IF($AG$4=0,0,IF($AG$6=0,0,IF(INDEX($A472:$AD472,$AG$4)="",0,IF(INDEX($A472:$AD472,$AG$6)&lt;&gt;"NON-COMPLIED",0,IF(COUNTIFS(INDEX($A$3:$AD$472,0,$AG$4),INDEX($A472:$AD472,$AG$4),INDEX($A$3:$AD$472,0,$AG$6),"NON-COMPLIED")=1,1,0)))))</f>
        <v>0</v>
      </c>
    </row>
    <row r="473" customFormat="false" ht="15" hidden="false" customHeight="false" outlineLevel="0" collapsed="false">
      <c r="AH473" s="21" t="n">
        <f aca="false">IF($AG$4=0,0,IF($AG$6=0,0,IF(INDEX($A473:$AD473,$AG$4)="",0,IF(INDEX($A473:$AD473,$AG$6)&lt;&gt;"NON-COMPLIED",0,IF(COUNTIFS(INDEX($A$3:$AD$473,0,$AG$4),INDEX($A473:$AD473,$AG$4),INDEX($A$3:$AD$473,0,$AG$6),"NON-COMPLIED")=1,1,0)))))</f>
        <v>0</v>
      </c>
    </row>
    <row r="474" customFormat="false" ht="15" hidden="false" customHeight="false" outlineLevel="0" collapsed="false">
      <c r="AH474" s="21" t="n">
        <f aca="false">IF($AG$4=0,0,IF($AG$6=0,0,IF(INDEX($A474:$AD474,$AG$4)="",0,IF(INDEX($A474:$AD474,$AG$6)&lt;&gt;"NON-COMPLIED",0,IF(COUNTIFS(INDEX($A$3:$AD$474,0,$AG$4),INDEX($A474:$AD474,$AG$4),INDEX($A$3:$AD$474,0,$AG$6),"NON-COMPLIED")=1,1,0)))))</f>
        <v>0</v>
      </c>
    </row>
    <row r="475" customFormat="false" ht="15" hidden="false" customHeight="false" outlineLevel="0" collapsed="false">
      <c r="AH475" s="21" t="n">
        <f aca="false">IF($AG$4=0,0,IF($AG$6=0,0,IF(INDEX($A475:$AD475,$AG$4)="",0,IF(INDEX($A475:$AD475,$AG$6)&lt;&gt;"NON-COMPLIED",0,IF(COUNTIFS(INDEX($A$3:$AD$475,0,$AG$4),INDEX($A475:$AD475,$AG$4),INDEX($A$3:$AD$475,0,$AG$6),"NON-COMPLIED")=1,1,0)))))</f>
        <v>0</v>
      </c>
    </row>
    <row r="476" customFormat="false" ht="15" hidden="false" customHeight="false" outlineLevel="0" collapsed="false">
      <c r="AH476" s="21" t="n">
        <f aca="false">IF($AG$4=0,0,IF($AG$6=0,0,IF(INDEX($A476:$AD476,$AG$4)="",0,IF(INDEX($A476:$AD476,$AG$6)&lt;&gt;"NON-COMPLIED",0,IF(COUNTIFS(INDEX($A$3:$AD$476,0,$AG$4),INDEX($A476:$AD476,$AG$4),INDEX($A$3:$AD$476,0,$AG$6),"NON-COMPLIED")=1,1,0)))))</f>
        <v>0</v>
      </c>
    </row>
    <row r="477" customFormat="false" ht="15" hidden="false" customHeight="false" outlineLevel="0" collapsed="false">
      <c r="AH477" s="21" t="n">
        <f aca="false">IF($AG$4=0,0,IF($AG$6=0,0,IF(INDEX($A477:$AD477,$AG$4)="",0,IF(INDEX($A477:$AD477,$AG$6)&lt;&gt;"NON-COMPLIED",0,IF(COUNTIFS(INDEX($A$3:$AD$477,0,$AG$4),INDEX($A477:$AD477,$AG$4),INDEX($A$3:$AD$477,0,$AG$6),"NON-COMPLIED")=1,1,0)))))</f>
        <v>0</v>
      </c>
    </row>
    <row r="478" customFormat="false" ht="15" hidden="false" customHeight="false" outlineLevel="0" collapsed="false">
      <c r="AH478" s="21" t="n">
        <f aca="false">IF($AG$4=0,0,IF($AG$6=0,0,IF(INDEX($A478:$AD478,$AG$4)="",0,IF(INDEX($A478:$AD478,$AG$6)&lt;&gt;"NON-COMPLIED",0,IF(COUNTIFS(INDEX($A$3:$AD$478,0,$AG$4),INDEX($A478:$AD478,$AG$4),INDEX($A$3:$AD$478,0,$AG$6),"NON-COMPLIED")=1,1,0)))))</f>
        <v>0</v>
      </c>
    </row>
    <row r="479" customFormat="false" ht="15" hidden="false" customHeight="false" outlineLevel="0" collapsed="false">
      <c r="AH479" s="21" t="n">
        <f aca="false">IF($AG$4=0,0,IF($AG$6=0,0,IF(INDEX($A479:$AD479,$AG$4)="",0,IF(INDEX($A479:$AD479,$AG$6)&lt;&gt;"NON-COMPLIED",0,IF(COUNTIFS(INDEX($A$3:$AD$479,0,$AG$4),INDEX($A479:$AD479,$AG$4),INDEX($A$3:$AD$479,0,$AG$6),"NON-COMPLIED")=1,1,0)))))</f>
        <v>0</v>
      </c>
    </row>
    <row r="480" customFormat="false" ht="15" hidden="false" customHeight="false" outlineLevel="0" collapsed="false">
      <c r="AH480" s="21" t="n">
        <f aca="false">IF($AG$4=0,0,IF($AG$6=0,0,IF(INDEX($A480:$AD480,$AG$4)="",0,IF(INDEX($A480:$AD480,$AG$6)&lt;&gt;"NON-COMPLIED",0,IF(COUNTIFS(INDEX($A$3:$AD$480,0,$AG$4),INDEX($A480:$AD480,$AG$4),INDEX($A$3:$AD$480,0,$AG$6),"NON-COMPLIED")=1,1,0)))))</f>
        <v>0</v>
      </c>
    </row>
    <row r="481" customFormat="false" ht="15" hidden="false" customHeight="false" outlineLevel="0" collapsed="false">
      <c r="AH481" s="21" t="n">
        <f aca="false">IF($AG$4=0,0,IF($AG$6=0,0,IF(INDEX($A481:$AD481,$AG$4)="",0,IF(INDEX($A481:$AD481,$AG$6)&lt;&gt;"NON-COMPLIED",0,IF(COUNTIFS(INDEX($A$3:$AD$481,0,$AG$4),INDEX($A481:$AD481,$AG$4),INDEX($A$3:$AD$481,0,$AG$6),"NON-COMPLIED")=1,1,0)))))</f>
        <v>0</v>
      </c>
    </row>
    <row r="482" customFormat="false" ht="15" hidden="false" customHeight="false" outlineLevel="0" collapsed="false">
      <c r="AH482" s="21" t="n">
        <f aca="false">IF($AG$4=0,0,IF($AG$6=0,0,IF(INDEX($A482:$AD482,$AG$4)="",0,IF(INDEX($A482:$AD482,$AG$6)&lt;&gt;"NON-COMPLIED",0,IF(COUNTIFS(INDEX($A$3:$AD$482,0,$AG$4),INDEX($A482:$AD482,$AG$4),INDEX($A$3:$AD$482,0,$AG$6),"NON-COMPLIED")=1,1,0)))))</f>
        <v>0</v>
      </c>
    </row>
    <row r="483" customFormat="false" ht="15" hidden="false" customHeight="false" outlineLevel="0" collapsed="false">
      <c r="AH483" s="21" t="n">
        <f aca="false">IF($AG$4=0,0,IF($AG$6=0,0,IF(INDEX($A483:$AD483,$AG$4)="",0,IF(INDEX($A483:$AD483,$AG$6)&lt;&gt;"NON-COMPLIED",0,IF(COUNTIFS(INDEX($A$3:$AD$483,0,$AG$4),INDEX($A483:$AD483,$AG$4),INDEX($A$3:$AD$483,0,$AG$6),"NON-COMPLIED")=1,1,0)))))</f>
        <v>0</v>
      </c>
    </row>
    <row r="484" customFormat="false" ht="15" hidden="false" customHeight="false" outlineLevel="0" collapsed="false">
      <c r="AH484" s="21" t="n">
        <f aca="false">IF($AG$4=0,0,IF($AG$6=0,0,IF(INDEX($A484:$AD484,$AG$4)="",0,IF(INDEX($A484:$AD484,$AG$6)&lt;&gt;"NON-COMPLIED",0,IF(COUNTIFS(INDEX($A$3:$AD$484,0,$AG$4),INDEX($A484:$AD484,$AG$4),INDEX($A$3:$AD$484,0,$AG$6),"NON-COMPLIED")=1,1,0)))))</f>
        <v>0</v>
      </c>
    </row>
    <row r="485" customFormat="false" ht="15" hidden="false" customHeight="false" outlineLevel="0" collapsed="false">
      <c r="AH485" s="21" t="n">
        <f aca="false">IF($AG$4=0,0,IF($AG$6=0,0,IF(INDEX($A485:$AD485,$AG$4)="",0,IF(INDEX($A485:$AD485,$AG$6)&lt;&gt;"NON-COMPLIED",0,IF(COUNTIFS(INDEX($A$3:$AD$485,0,$AG$4),INDEX($A485:$AD485,$AG$4),INDEX($A$3:$AD$485,0,$AG$6),"NON-COMPLIED")=1,1,0)))))</f>
        <v>0</v>
      </c>
    </row>
    <row r="486" customFormat="false" ht="15" hidden="false" customHeight="false" outlineLevel="0" collapsed="false">
      <c r="AH486" s="21" t="n">
        <f aca="false">IF($AG$4=0,0,IF($AG$6=0,0,IF(INDEX($A486:$AD486,$AG$4)="",0,IF(INDEX($A486:$AD486,$AG$6)&lt;&gt;"NON-COMPLIED",0,IF(COUNTIFS(INDEX($A$3:$AD$486,0,$AG$4),INDEX($A486:$AD486,$AG$4),INDEX($A$3:$AD$486,0,$AG$6),"NON-COMPLIED")=1,1,0)))))</f>
        <v>0</v>
      </c>
    </row>
    <row r="487" customFormat="false" ht="15" hidden="false" customHeight="false" outlineLevel="0" collapsed="false">
      <c r="AH487" s="21" t="n">
        <f aca="false">IF($AG$4=0,0,IF($AG$6=0,0,IF(INDEX($A487:$AD487,$AG$4)="",0,IF(INDEX($A487:$AD487,$AG$6)&lt;&gt;"NON-COMPLIED",0,IF(COUNTIFS(INDEX($A$3:$AD$487,0,$AG$4),INDEX($A487:$AD487,$AG$4),INDEX($A$3:$AD$487,0,$AG$6),"NON-COMPLIED")=1,1,0)))))</f>
        <v>0</v>
      </c>
    </row>
    <row r="488" customFormat="false" ht="15" hidden="false" customHeight="false" outlineLevel="0" collapsed="false">
      <c r="AH488" s="21" t="n">
        <f aca="false">IF($AG$4=0,0,IF($AG$6=0,0,IF(INDEX($A488:$AD488,$AG$4)="",0,IF(INDEX($A488:$AD488,$AG$6)&lt;&gt;"NON-COMPLIED",0,IF(COUNTIFS(INDEX($A$3:$AD$488,0,$AG$4),INDEX($A488:$AD488,$AG$4),INDEX($A$3:$AD$488,0,$AG$6),"NON-COMPLIED")=1,1,0)))))</f>
        <v>0</v>
      </c>
    </row>
    <row r="489" customFormat="false" ht="15" hidden="false" customHeight="false" outlineLevel="0" collapsed="false">
      <c r="AH489" s="21" t="n">
        <f aca="false">IF($AG$4=0,0,IF($AG$6=0,0,IF(INDEX($A489:$AD489,$AG$4)="",0,IF(INDEX($A489:$AD489,$AG$6)&lt;&gt;"NON-COMPLIED",0,IF(COUNTIFS(INDEX($A$3:$AD$489,0,$AG$4),INDEX($A489:$AD489,$AG$4),INDEX($A$3:$AD$489,0,$AG$6),"NON-COMPLIED")=1,1,0)))))</f>
        <v>0</v>
      </c>
    </row>
    <row r="490" customFormat="false" ht="15" hidden="false" customHeight="false" outlineLevel="0" collapsed="false">
      <c r="AH490" s="21" t="n">
        <f aca="false">IF($AG$4=0,0,IF($AG$6=0,0,IF(INDEX($A490:$AD490,$AG$4)="",0,IF(INDEX($A490:$AD490,$AG$6)&lt;&gt;"NON-COMPLIED",0,IF(COUNTIFS(INDEX($A$3:$AD$490,0,$AG$4),INDEX($A490:$AD490,$AG$4),INDEX($A$3:$AD$490,0,$AG$6),"NON-COMPLIED")=1,1,0)))))</f>
        <v>0</v>
      </c>
    </row>
    <row r="491" customFormat="false" ht="15" hidden="false" customHeight="false" outlineLevel="0" collapsed="false">
      <c r="AH491" s="21" t="n">
        <f aca="false">IF($AG$4=0,0,IF($AG$6=0,0,IF(INDEX($A491:$AD491,$AG$4)="",0,IF(INDEX($A491:$AD491,$AG$6)&lt;&gt;"NON-COMPLIED",0,IF(COUNTIFS(INDEX($A$3:$AD$491,0,$AG$4),INDEX($A491:$AD491,$AG$4),INDEX($A$3:$AD$491,0,$AG$6),"NON-COMPLIED")=1,1,0)))))</f>
        <v>0</v>
      </c>
    </row>
    <row r="492" customFormat="false" ht="15" hidden="false" customHeight="false" outlineLevel="0" collapsed="false">
      <c r="AH492" s="21" t="n">
        <f aca="false">IF($AG$4=0,0,IF($AG$6=0,0,IF(INDEX($A492:$AD492,$AG$4)="",0,IF(INDEX($A492:$AD492,$AG$6)&lt;&gt;"NON-COMPLIED",0,IF(COUNTIFS(INDEX($A$3:$AD$492,0,$AG$4),INDEX($A492:$AD492,$AG$4),INDEX($A$3:$AD$492,0,$AG$6),"NON-COMPLIED")=1,1,0)))))</f>
        <v>0</v>
      </c>
    </row>
    <row r="493" customFormat="false" ht="15" hidden="false" customHeight="false" outlineLevel="0" collapsed="false">
      <c r="AH493" s="21" t="n">
        <f aca="false">IF($AG$4=0,0,IF($AG$6=0,0,IF(INDEX($A493:$AD493,$AG$4)="",0,IF(INDEX($A493:$AD493,$AG$6)&lt;&gt;"NON-COMPLIED",0,IF(COUNTIFS(INDEX($A$3:$AD$493,0,$AG$4),INDEX($A493:$AD493,$AG$4),INDEX($A$3:$AD$493,0,$AG$6),"NON-COMPLIED")=1,1,0)))))</f>
        <v>0</v>
      </c>
    </row>
    <row r="494" customFormat="false" ht="15" hidden="false" customHeight="false" outlineLevel="0" collapsed="false">
      <c r="AH494" s="21" t="n">
        <f aca="false">IF($AG$4=0,0,IF($AG$6=0,0,IF(INDEX($A494:$AD494,$AG$4)="",0,IF(INDEX($A494:$AD494,$AG$6)&lt;&gt;"NON-COMPLIED",0,IF(COUNTIFS(INDEX($A$3:$AD$494,0,$AG$4),INDEX($A494:$AD494,$AG$4),INDEX($A$3:$AD$494,0,$AG$6),"NON-COMPLIED")=1,1,0)))))</f>
        <v>0</v>
      </c>
    </row>
    <row r="495" customFormat="false" ht="15" hidden="false" customHeight="false" outlineLevel="0" collapsed="false">
      <c r="AH495" s="21" t="n">
        <f aca="false">IF($AG$4=0,0,IF($AG$6=0,0,IF(INDEX($A495:$AD495,$AG$4)="",0,IF(INDEX($A495:$AD495,$AG$6)&lt;&gt;"NON-COMPLIED",0,IF(COUNTIFS(INDEX($A$3:$AD$495,0,$AG$4),INDEX($A495:$AD495,$AG$4),INDEX($A$3:$AD$495,0,$AG$6),"NON-COMPLIED")=1,1,0)))))</f>
        <v>0</v>
      </c>
    </row>
    <row r="496" customFormat="false" ht="15" hidden="false" customHeight="false" outlineLevel="0" collapsed="false">
      <c r="AH496" s="21" t="n">
        <f aca="false">IF($AG$4=0,0,IF($AG$6=0,0,IF(INDEX($A496:$AD496,$AG$4)="",0,IF(INDEX($A496:$AD496,$AG$6)&lt;&gt;"NON-COMPLIED",0,IF(COUNTIFS(INDEX($A$3:$AD$496,0,$AG$4),INDEX($A496:$AD496,$AG$4),INDEX($A$3:$AD$496,0,$AG$6),"NON-COMPLIED")=1,1,0)))))</f>
        <v>0</v>
      </c>
    </row>
    <row r="497" customFormat="false" ht="15" hidden="false" customHeight="false" outlineLevel="0" collapsed="false">
      <c r="AH497" s="21" t="n">
        <f aca="false">IF($AG$4=0,0,IF($AG$6=0,0,IF(INDEX($A497:$AD497,$AG$4)="",0,IF(INDEX($A497:$AD497,$AG$6)&lt;&gt;"NON-COMPLIED",0,IF(COUNTIFS(INDEX($A$3:$AD$497,0,$AG$4),INDEX($A497:$AD497,$AG$4),INDEX($A$3:$AD$497,0,$AG$6),"NON-COMPLIED")=1,1,0)))))</f>
        <v>0</v>
      </c>
    </row>
    <row r="498" customFormat="false" ht="15" hidden="false" customHeight="false" outlineLevel="0" collapsed="false">
      <c r="AH498" s="21" t="n">
        <f aca="false">IF($AG$4=0,0,IF($AG$6=0,0,IF(INDEX($A498:$AD498,$AG$4)="",0,IF(INDEX($A498:$AD498,$AG$6)&lt;&gt;"NON-COMPLIED",0,IF(COUNTIFS(INDEX($A$3:$AD$498,0,$AG$4),INDEX($A498:$AD498,$AG$4),INDEX($A$3:$AD$498,0,$AG$6),"NON-COMPLIED")=1,1,0)))))</f>
        <v>0</v>
      </c>
    </row>
    <row r="499" customFormat="false" ht="15" hidden="false" customHeight="false" outlineLevel="0" collapsed="false">
      <c r="AH499" s="21" t="n">
        <f aca="false">IF($AG$4=0,0,IF($AG$6=0,0,IF(INDEX($A499:$AD499,$AG$4)="",0,IF(INDEX($A499:$AD499,$AG$6)&lt;&gt;"NON-COMPLIED",0,IF(COUNTIFS(INDEX($A$3:$AD$499,0,$AG$4),INDEX($A499:$AD499,$AG$4),INDEX($A$3:$AD$499,0,$AG$6),"NON-COMPLIED")=1,1,0)))))</f>
        <v>0</v>
      </c>
    </row>
    <row r="500" customFormat="false" ht="15" hidden="false" customHeight="false" outlineLevel="0" collapsed="false">
      <c r="AH500" s="21" t="n">
        <f aca="false">IF($AG$4=0,0,IF($AG$6=0,0,IF(INDEX($A500:$AD500,$AG$4)="",0,IF(INDEX($A500:$AD500,$AG$6)&lt;&gt;"NON-COMPLIED",0,IF(COUNTIFS(INDEX($A$3:$AD$500,0,$AG$4),INDEX($A500:$AD500,$AG$4),INDEX($A$3:$AD$500,0,$AG$6),"NON-COMPLIED")=1,1,0)))))</f>
        <v>0</v>
      </c>
    </row>
    <row r="501" customFormat="false" ht="15" hidden="false" customHeight="false" outlineLevel="0" collapsed="false">
      <c r="AH501" s="21" t="n">
        <f aca="false">IF($AG$4=0,0,IF($AG$6=0,0,IF(INDEX($A501:$AD501,$AG$4)="",0,IF(INDEX($A501:$AD501,$AG$6)&lt;&gt;"NON-COMPLIED",0,IF(COUNTIFS(INDEX($A$3:$AD$501,0,$AG$4),INDEX($A501:$AD501,$AG$4),INDEX($A$3:$AD$501,0,$AG$6),"NON-COMPLIED")=1,1,0)))))</f>
        <v>0</v>
      </c>
    </row>
    <row r="502" customFormat="false" ht="15" hidden="false" customHeight="false" outlineLevel="0" collapsed="false">
      <c r="AH502" s="21" t="n">
        <f aca="false">IF($AG$4=0,0,IF($AG$6=0,0,IF(INDEX($A502:$AD502,$AG$4)="",0,IF(INDEX($A502:$AD502,$AG$6)&lt;&gt;"NON-COMPLIED",0,IF(COUNTIFS(INDEX($A$3:$AD$502,0,$AG$4),INDEX($A502:$AD502,$AG$4),INDEX($A$3:$AD$502,0,$AG$6),"NON-COMPLIED")=1,1,0)))))</f>
        <v>0</v>
      </c>
    </row>
    <row r="503" customFormat="false" ht="15" hidden="false" customHeight="false" outlineLevel="0" collapsed="false">
      <c r="AH503" s="21" t="n">
        <f aca="false">IF($AG$4=0,0,IF($AG$6=0,0,IF(INDEX($A503:$AD503,$AG$4)="",0,IF(INDEX($A503:$AD503,$AG$6)&lt;&gt;"NON-COMPLIED",0,IF(COUNTIFS(INDEX($A$3:$AD$503,0,$AG$4),INDEX($A503:$AD503,$AG$4),INDEX($A$3:$AD$503,0,$AG$6),"NON-COMPLIED")=1,1,0)))))</f>
        <v>0</v>
      </c>
    </row>
    <row r="504" customFormat="false" ht="15" hidden="false" customHeight="false" outlineLevel="0" collapsed="false">
      <c r="AH504" s="21" t="n">
        <f aca="false">IF($AG$4=0,0,IF($AG$6=0,0,IF(INDEX($A504:$AD504,$AG$4)="",0,IF(INDEX($A504:$AD504,$AG$6)&lt;&gt;"NON-COMPLIED",0,IF(COUNTIFS(INDEX($A$3:$AD$504,0,$AG$4),INDEX($A504:$AD504,$AG$4),INDEX($A$3:$AD$504,0,$AG$6),"NON-COMPLIED")=1,1,0)))))</f>
        <v>0</v>
      </c>
    </row>
    <row r="505" customFormat="false" ht="15" hidden="false" customHeight="false" outlineLevel="0" collapsed="false">
      <c r="AH505" s="21" t="n">
        <f aca="false">IF($AG$4=0,0,IF($AG$6=0,0,IF(INDEX($A505:$AD505,$AG$4)="",0,IF(INDEX($A505:$AD505,$AG$6)&lt;&gt;"NON-COMPLIED",0,IF(COUNTIFS(INDEX($A$3:$AD$505,0,$AG$4),INDEX($A505:$AD505,$AG$4),INDEX($A$3:$AD$505,0,$AG$6),"NON-COMPLIED")=1,1,0)))))</f>
        <v>0</v>
      </c>
    </row>
    <row r="506" customFormat="false" ht="15" hidden="false" customHeight="false" outlineLevel="0" collapsed="false">
      <c r="AH506" s="21" t="n">
        <f aca="false">IF($AG$4=0,0,IF($AG$6=0,0,IF(INDEX($A506:$AD506,$AG$4)="",0,IF(INDEX($A506:$AD506,$AG$6)&lt;&gt;"NON-COMPLIED",0,IF(COUNTIFS(INDEX($A$3:$AD$506,0,$AG$4),INDEX($A506:$AD506,$AG$4),INDEX($A$3:$AD$506,0,$AG$6),"NON-COMPLIED")=1,1,0)))))</f>
        <v>0</v>
      </c>
    </row>
    <row r="507" customFormat="false" ht="15" hidden="false" customHeight="false" outlineLevel="0" collapsed="false">
      <c r="AH507" s="21" t="n">
        <f aca="false">IF($AG$4=0,0,IF($AG$6=0,0,IF(INDEX($A507:$AD507,$AG$4)="",0,IF(INDEX($A507:$AD507,$AG$6)&lt;&gt;"NON-COMPLIED",0,IF(COUNTIFS(INDEX($A$3:$AD$507,0,$AG$4),INDEX($A507:$AD507,$AG$4),INDEX($A$3:$AD$507,0,$AG$6),"NON-COMPLIED")=1,1,0)))))</f>
        <v>0</v>
      </c>
    </row>
    <row r="508" customFormat="false" ht="15" hidden="false" customHeight="false" outlineLevel="0" collapsed="false">
      <c r="AH508" s="21" t="n">
        <f aca="false">IF($AG$4=0,0,IF($AG$6=0,0,IF(INDEX($A508:$AD508,$AG$4)="",0,IF(INDEX($A508:$AD508,$AG$6)&lt;&gt;"NON-COMPLIED",0,IF(COUNTIFS(INDEX($A$3:$AD$508,0,$AG$4),INDEX($A508:$AD508,$AG$4),INDEX($A$3:$AD$508,0,$AG$6),"NON-COMPLIED")=1,1,0)))))</f>
        <v>0</v>
      </c>
    </row>
    <row r="509" customFormat="false" ht="15" hidden="false" customHeight="false" outlineLevel="0" collapsed="false">
      <c r="AH509" s="21" t="n">
        <f aca="false">IF($AG$4=0,0,IF($AG$6=0,0,IF(INDEX($A509:$AD509,$AG$4)="",0,IF(INDEX($A509:$AD509,$AG$6)&lt;&gt;"NON-COMPLIED",0,IF(COUNTIFS(INDEX($A$3:$AD$509,0,$AG$4),INDEX($A509:$AD509,$AG$4),INDEX($A$3:$AD$509,0,$AG$6),"NON-COMPLIED")=1,1,0)))))</f>
        <v>0</v>
      </c>
    </row>
    <row r="510" customFormat="false" ht="15" hidden="false" customHeight="false" outlineLevel="0" collapsed="false">
      <c r="AH510" s="21" t="n">
        <f aca="false">IF($AG$4=0,0,IF($AG$6=0,0,IF(INDEX($A510:$AD510,$AG$4)="",0,IF(INDEX($A510:$AD510,$AG$6)&lt;&gt;"NON-COMPLIED",0,IF(COUNTIFS(INDEX($A$3:$AD$510,0,$AG$4),INDEX($A510:$AD510,$AG$4),INDEX($A$3:$AD$510,0,$AG$6),"NON-COMPLIED")=1,1,0)))))</f>
        <v>0</v>
      </c>
    </row>
    <row r="511" customFormat="false" ht="15" hidden="false" customHeight="false" outlineLevel="0" collapsed="false">
      <c r="AH511" s="21" t="n">
        <f aca="false">IF($AG$4=0,0,IF($AG$6=0,0,IF(INDEX($A511:$AD511,$AG$4)="",0,IF(INDEX($A511:$AD511,$AG$6)&lt;&gt;"NON-COMPLIED",0,IF(COUNTIFS(INDEX($A$3:$AD$511,0,$AG$4),INDEX($A511:$AD511,$AG$4),INDEX($A$3:$AD$511,0,$AG$6),"NON-COMPLIED")=1,1,0)))))</f>
        <v>0</v>
      </c>
    </row>
    <row r="512" customFormat="false" ht="15" hidden="false" customHeight="false" outlineLevel="0" collapsed="false">
      <c r="AH512" s="21" t="n">
        <f aca="false">IF($AG$4=0,0,IF($AG$6=0,0,IF(INDEX($A512:$AD512,$AG$4)="",0,IF(INDEX($A512:$AD512,$AG$6)&lt;&gt;"NON-COMPLIED",0,IF(COUNTIFS(INDEX($A$3:$AD$512,0,$AG$4),INDEX($A512:$AD512,$AG$4),INDEX($A$3:$AD$512,0,$AG$6),"NON-COMPLIED")=1,1,0)))))</f>
        <v>0</v>
      </c>
    </row>
    <row r="513" customFormat="false" ht="15" hidden="false" customHeight="false" outlineLevel="0" collapsed="false">
      <c r="AH513" s="21" t="n">
        <f aca="false">IF($AG$4=0,0,IF($AG$6=0,0,IF(INDEX($A513:$AD513,$AG$4)="",0,IF(INDEX($A513:$AD513,$AG$6)&lt;&gt;"NON-COMPLIED",0,IF(COUNTIFS(INDEX($A$3:$AD$513,0,$AG$4),INDEX($A513:$AD513,$AG$4),INDEX($A$3:$AD$513,0,$AG$6),"NON-COMPLIED")=1,1,0)))))</f>
        <v>0</v>
      </c>
    </row>
    <row r="514" customFormat="false" ht="15" hidden="false" customHeight="false" outlineLevel="0" collapsed="false">
      <c r="AH514" s="21" t="n">
        <f aca="false">IF($AG$4=0,0,IF($AG$6=0,0,IF(INDEX($A514:$AD514,$AG$4)="",0,IF(INDEX($A514:$AD514,$AG$6)&lt;&gt;"NON-COMPLIED",0,IF(COUNTIFS(INDEX($A$3:$AD$514,0,$AG$4),INDEX($A514:$AD514,$AG$4),INDEX($A$3:$AD$514,0,$AG$6),"NON-COMPLIED")=1,1,0)))))</f>
        <v>0</v>
      </c>
    </row>
    <row r="515" customFormat="false" ht="15" hidden="false" customHeight="false" outlineLevel="0" collapsed="false">
      <c r="AH515" s="21" t="n">
        <f aca="false">IF($AG$4=0,0,IF($AG$6=0,0,IF(INDEX($A515:$AD515,$AG$4)="",0,IF(INDEX($A515:$AD515,$AG$6)&lt;&gt;"NON-COMPLIED",0,IF(COUNTIFS(INDEX($A$3:$AD$515,0,$AG$4),INDEX($A515:$AD515,$AG$4),INDEX($A$3:$AD$515,0,$AG$6),"NON-COMPLIED")=1,1,0)))))</f>
        <v>0</v>
      </c>
    </row>
    <row r="516" customFormat="false" ht="15" hidden="false" customHeight="false" outlineLevel="0" collapsed="false">
      <c r="AH516" s="21" t="n">
        <f aca="false">IF($AG$4=0,0,IF($AG$6=0,0,IF(INDEX($A516:$AD516,$AG$4)="",0,IF(INDEX($A516:$AD516,$AG$6)&lt;&gt;"NON-COMPLIED",0,IF(COUNTIFS(INDEX($A$3:$AD$516,0,$AG$4),INDEX($A516:$AD516,$AG$4),INDEX($A$3:$AD$516,0,$AG$6),"NON-COMPLIED")=1,1,0)))))</f>
        <v>0</v>
      </c>
    </row>
    <row r="517" customFormat="false" ht="15" hidden="false" customHeight="false" outlineLevel="0" collapsed="false">
      <c r="AH517" s="21" t="n">
        <f aca="false">IF($AG$4=0,0,IF($AG$6=0,0,IF(INDEX($A517:$AD517,$AG$4)="",0,IF(INDEX($A517:$AD517,$AG$6)&lt;&gt;"NON-COMPLIED",0,IF(COUNTIFS(INDEX($A$3:$AD$517,0,$AG$4),INDEX($A517:$AD517,$AG$4),INDEX($A$3:$AD$517,0,$AG$6),"NON-COMPLIED")=1,1,0)))))</f>
        <v>0</v>
      </c>
    </row>
    <row r="518" customFormat="false" ht="15" hidden="false" customHeight="false" outlineLevel="0" collapsed="false">
      <c r="AH518" s="21" t="n">
        <f aca="false">IF($AG$4=0,0,IF($AG$6=0,0,IF(INDEX($A518:$AD518,$AG$4)="",0,IF(INDEX($A518:$AD518,$AG$6)&lt;&gt;"NON-COMPLIED",0,IF(COUNTIFS(INDEX($A$3:$AD$518,0,$AG$4),INDEX($A518:$AD518,$AG$4),INDEX($A$3:$AD$518,0,$AG$6),"NON-COMPLIED")=1,1,0)))))</f>
        <v>0</v>
      </c>
    </row>
    <row r="519" customFormat="false" ht="15" hidden="false" customHeight="false" outlineLevel="0" collapsed="false">
      <c r="AH519" s="21" t="n">
        <f aca="false">IF($AG$4=0,0,IF($AG$6=0,0,IF(INDEX($A519:$AD519,$AG$4)="",0,IF(INDEX($A519:$AD519,$AG$6)&lt;&gt;"NON-COMPLIED",0,IF(COUNTIFS(INDEX($A$3:$AD$519,0,$AG$4),INDEX($A519:$AD519,$AG$4),INDEX($A$3:$AD$519,0,$AG$6),"NON-COMPLIED")=1,1,0)))))</f>
        <v>0</v>
      </c>
    </row>
    <row r="520" customFormat="false" ht="15" hidden="false" customHeight="false" outlineLevel="0" collapsed="false">
      <c r="AH520" s="21" t="n">
        <f aca="false">IF($AG$4=0,0,IF($AG$6=0,0,IF(INDEX($A520:$AD520,$AG$4)="",0,IF(INDEX($A520:$AD520,$AG$6)&lt;&gt;"NON-COMPLIED",0,IF(COUNTIFS(INDEX($A$3:$AD$520,0,$AG$4),INDEX($A520:$AD520,$AG$4),INDEX($A$3:$AD$520,0,$AG$6),"NON-COMPLIED")=1,1,0)))))</f>
        <v>0</v>
      </c>
    </row>
    <row r="521" customFormat="false" ht="15" hidden="false" customHeight="false" outlineLevel="0" collapsed="false">
      <c r="AH521" s="21" t="n">
        <f aca="false">IF($AG$4=0,0,IF($AG$6=0,0,IF(INDEX($A521:$AD521,$AG$4)="",0,IF(INDEX($A521:$AD521,$AG$6)&lt;&gt;"NON-COMPLIED",0,IF(COUNTIFS(INDEX($A$3:$AD$521,0,$AG$4),INDEX($A521:$AD521,$AG$4),INDEX($A$3:$AD$521,0,$AG$6),"NON-COMPLIED")=1,1,0)))))</f>
        <v>0</v>
      </c>
    </row>
    <row r="522" customFormat="false" ht="15" hidden="false" customHeight="false" outlineLevel="0" collapsed="false">
      <c r="AH522" s="21" t="n">
        <f aca="false">IF($AG$4=0,0,IF($AG$6=0,0,IF(INDEX($A522:$AD522,$AG$4)="",0,IF(INDEX($A522:$AD522,$AG$6)&lt;&gt;"NON-COMPLIED",0,IF(COUNTIFS(INDEX($A$3:$AD$522,0,$AG$4),INDEX($A522:$AD522,$AG$4),INDEX($A$3:$AD$522,0,$AG$6),"NON-COMPLIED")=1,1,0)))))</f>
        <v>0</v>
      </c>
    </row>
    <row r="523" customFormat="false" ht="15" hidden="false" customHeight="false" outlineLevel="0" collapsed="false">
      <c r="AH523" s="21" t="n">
        <f aca="false">IF($AG$4=0,0,IF($AG$6=0,0,IF(INDEX($A523:$AD523,$AG$4)="",0,IF(INDEX($A523:$AD523,$AG$6)&lt;&gt;"NON-COMPLIED",0,IF(COUNTIFS(INDEX($A$3:$AD$523,0,$AG$4),INDEX($A523:$AD523,$AG$4),INDEX($A$3:$AD$523,0,$AG$6),"NON-COMPLIED")=1,1,0)))))</f>
        <v>0</v>
      </c>
    </row>
    <row r="524" customFormat="false" ht="15" hidden="false" customHeight="false" outlineLevel="0" collapsed="false">
      <c r="AH524" s="21" t="n">
        <f aca="false">IF($AG$4=0,0,IF($AG$6=0,0,IF(INDEX($A524:$AD524,$AG$4)="",0,IF(INDEX($A524:$AD524,$AG$6)&lt;&gt;"NON-COMPLIED",0,IF(COUNTIFS(INDEX($A$3:$AD$524,0,$AG$4),INDEX($A524:$AD524,$AG$4),INDEX($A$3:$AD$524,0,$AG$6),"NON-COMPLIED")=1,1,0)))))</f>
        <v>0</v>
      </c>
    </row>
    <row r="525" customFormat="false" ht="15" hidden="false" customHeight="false" outlineLevel="0" collapsed="false">
      <c r="AH525" s="21" t="n">
        <f aca="false">IF($AG$4=0,0,IF($AG$6=0,0,IF(INDEX($A525:$AD525,$AG$4)="",0,IF(INDEX($A525:$AD525,$AG$6)&lt;&gt;"NON-COMPLIED",0,IF(COUNTIFS(INDEX($A$3:$AD$525,0,$AG$4),INDEX($A525:$AD525,$AG$4),INDEX($A$3:$AD$525,0,$AG$6),"NON-COMPLIED")=1,1,0)))))</f>
        <v>0</v>
      </c>
    </row>
    <row r="526" customFormat="false" ht="15" hidden="false" customHeight="false" outlineLevel="0" collapsed="false">
      <c r="AH526" s="21" t="n">
        <f aca="false">IF($AG$4=0,0,IF($AG$6=0,0,IF(INDEX($A526:$AD526,$AG$4)="",0,IF(INDEX($A526:$AD526,$AG$6)&lt;&gt;"NON-COMPLIED",0,IF(COUNTIFS(INDEX($A$3:$AD$526,0,$AG$4),INDEX($A526:$AD526,$AG$4),INDEX($A$3:$AD$526,0,$AG$6),"NON-COMPLIED")=1,1,0)))))</f>
        <v>0</v>
      </c>
    </row>
    <row r="527" customFormat="false" ht="15" hidden="false" customHeight="false" outlineLevel="0" collapsed="false">
      <c r="AH527" s="21" t="n">
        <f aca="false">IF($AG$4=0,0,IF($AG$6=0,0,IF(INDEX($A527:$AD527,$AG$4)="",0,IF(INDEX($A527:$AD527,$AG$6)&lt;&gt;"NON-COMPLIED",0,IF(COUNTIFS(INDEX($A$3:$AD$527,0,$AG$4),INDEX($A527:$AD527,$AG$4),INDEX($A$3:$AD$527,0,$AG$6),"NON-COMPLIED")=1,1,0)))))</f>
        <v>0</v>
      </c>
    </row>
    <row r="528" customFormat="false" ht="15" hidden="false" customHeight="false" outlineLevel="0" collapsed="false">
      <c r="AH528" s="21" t="n">
        <f aca="false">IF($AG$4=0,0,IF($AG$6=0,0,IF(INDEX($A528:$AD528,$AG$4)="",0,IF(INDEX($A528:$AD528,$AG$6)&lt;&gt;"NON-COMPLIED",0,IF(COUNTIFS(INDEX($A$3:$AD$528,0,$AG$4),INDEX($A528:$AD528,$AG$4),INDEX($A$3:$AD$528,0,$AG$6),"NON-COMPLIED")=1,1,0)))))</f>
        <v>0</v>
      </c>
    </row>
    <row r="529" customFormat="false" ht="15" hidden="false" customHeight="false" outlineLevel="0" collapsed="false">
      <c r="AH529" s="21" t="n">
        <f aca="false">IF($AG$4=0,0,IF($AG$6=0,0,IF(INDEX($A529:$AD529,$AG$4)="",0,IF(INDEX($A529:$AD529,$AG$6)&lt;&gt;"NON-COMPLIED",0,IF(COUNTIFS(INDEX($A$3:$AD$529,0,$AG$4),INDEX($A529:$AD529,$AG$4),INDEX($A$3:$AD$529,0,$AG$6),"NON-COMPLIED")=1,1,0)))))</f>
        <v>0</v>
      </c>
    </row>
    <row r="530" customFormat="false" ht="15" hidden="false" customHeight="false" outlineLevel="0" collapsed="false">
      <c r="AH530" s="21" t="n">
        <f aca="false">IF($AG$4=0,0,IF($AG$6=0,0,IF(INDEX($A530:$AD530,$AG$4)="",0,IF(INDEX($A530:$AD530,$AG$6)&lt;&gt;"NON-COMPLIED",0,IF(COUNTIFS(INDEX($A$3:$AD$530,0,$AG$4),INDEX($A530:$AD530,$AG$4),INDEX($A$3:$AD$530,0,$AG$6),"NON-COMPLIED")=1,1,0)))))</f>
        <v>0</v>
      </c>
    </row>
    <row r="531" customFormat="false" ht="15" hidden="false" customHeight="false" outlineLevel="0" collapsed="false">
      <c r="AH531" s="21" t="n">
        <f aca="false">IF($AG$4=0,0,IF($AG$6=0,0,IF(INDEX($A531:$AD531,$AG$4)="",0,IF(INDEX($A531:$AD531,$AG$6)&lt;&gt;"NON-COMPLIED",0,IF(COUNTIFS(INDEX($A$3:$AD$531,0,$AG$4),INDEX($A531:$AD531,$AG$4),INDEX($A$3:$AD$531,0,$AG$6),"NON-COMPLIED")=1,1,0)))))</f>
        <v>0</v>
      </c>
    </row>
    <row r="532" customFormat="false" ht="15" hidden="false" customHeight="false" outlineLevel="0" collapsed="false">
      <c r="AH532" s="21" t="n">
        <f aca="false">IF($AG$4=0,0,IF($AG$6=0,0,IF(INDEX($A532:$AD532,$AG$4)="",0,IF(INDEX($A532:$AD532,$AG$6)&lt;&gt;"NON-COMPLIED",0,IF(COUNTIFS(INDEX($A$3:$AD$532,0,$AG$4),INDEX($A532:$AD532,$AG$4),INDEX($A$3:$AD$532,0,$AG$6),"NON-COMPLIED")=1,1,0)))))</f>
        <v>0</v>
      </c>
    </row>
    <row r="533" customFormat="false" ht="15" hidden="false" customHeight="false" outlineLevel="0" collapsed="false">
      <c r="AH533" s="21" t="n">
        <f aca="false">IF($AG$4=0,0,IF($AG$6=0,0,IF(INDEX($A533:$AD533,$AG$4)="",0,IF(INDEX($A533:$AD533,$AG$6)&lt;&gt;"NON-COMPLIED",0,IF(COUNTIFS(INDEX($A$3:$AD$533,0,$AG$4),INDEX($A533:$AD533,$AG$4),INDEX($A$3:$AD$533,0,$AG$6),"NON-COMPLIED")=1,1,0)))))</f>
        <v>0</v>
      </c>
    </row>
    <row r="534" customFormat="false" ht="15" hidden="false" customHeight="false" outlineLevel="0" collapsed="false">
      <c r="AH534" s="21" t="n">
        <f aca="false">IF($AG$4=0,0,IF($AG$6=0,0,IF(INDEX($A534:$AD534,$AG$4)="",0,IF(INDEX($A534:$AD534,$AG$6)&lt;&gt;"NON-COMPLIED",0,IF(COUNTIFS(INDEX($A$3:$AD$534,0,$AG$4),INDEX($A534:$AD534,$AG$4),INDEX($A$3:$AD$534,0,$AG$6),"NON-COMPLIED")=1,1,0)))))</f>
        <v>0</v>
      </c>
    </row>
    <row r="535" customFormat="false" ht="15" hidden="false" customHeight="false" outlineLevel="0" collapsed="false">
      <c r="AH535" s="21" t="n">
        <f aca="false">IF($AG$4=0,0,IF($AG$6=0,0,IF(INDEX($A535:$AD535,$AG$4)="",0,IF(INDEX($A535:$AD535,$AG$6)&lt;&gt;"NON-COMPLIED",0,IF(COUNTIFS(INDEX($A$3:$AD$535,0,$AG$4),INDEX($A535:$AD535,$AG$4),INDEX($A$3:$AD$535,0,$AG$6),"NON-COMPLIED")=1,1,0)))))</f>
        <v>0</v>
      </c>
    </row>
    <row r="536" customFormat="false" ht="15" hidden="false" customHeight="false" outlineLevel="0" collapsed="false">
      <c r="AH536" s="21" t="n">
        <f aca="false">IF($AG$4=0,0,IF($AG$6=0,0,IF(INDEX($A536:$AD536,$AG$4)="",0,IF(INDEX($A536:$AD536,$AG$6)&lt;&gt;"NON-COMPLIED",0,IF(COUNTIFS(INDEX($A$3:$AD$536,0,$AG$4),INDEX($A536:$AD536,$AG$4),INDEX($A$3:$AD$536,0,$AG$6),"NON-COMPLIED")=1,1,0)))))</f>
        <v>0</v>
      </c>
    </row>
    <row r="537" customFormat="false" ht="15" hidden="false" customHeight="false" outlineLevel="0" collapsed="false">
      <c r="AH537" s="21" t="n">
        <f aca="false">IF($AG$4=0,0,IF($AG$6=0,0,IF(INDEX($A537:$AD537,$AG$4)="",0,IF(INDEX($A537:$AD537,$AG$6)&lt;&gt;"NON-COMPLIED",0,IF(COUNTIFS(INDEX($A$3:$AD$537,0,$AG$4),INDEX($A537:$AD537,$AG$4),INDEX($A$3:$AD$537,0,$AG$6),"NON-COMPLIED")=1,1,0)))))</f>
        <v>0</v>
      </c>
    </row>
    <row r="538" customFormat="false" ht="15" hidden="false" customHeight="false" outlineLevel="0" collapsed="false">
      <c r="AH538" s="21" t="n">
        <f aca="false">IF($AG$4=0,0,IF($AG$6=0,0,IF(INDEX($A538:$AD538,$AG$4)="",0,IF(INDEX($A538:$AD538,$AG$6)&lt;&gt;"NON-COMPLIED",0,IF(COUNTIFS(INDEX($A$3:$AD$538,0,$AG$4),INDEX($A538:$AD538,$AG$4),INDEX($A$3:$AD$538,0,$AG$6),"NON-COMPLIED")=1,1,0)))))</f>
        <v>0</v>
      </c>
    </row>
    <row r="539" customFormat="false" ht="15" hidden="false" customHeight="false" outlineLevel="0" collapsed="false">
      <c r="AH539" s="21" t="n">
        <f aca="false">IF($AG$4=0,0,IF($AG$6=0,0,IF(INDEX($A539:$AD539,$AG$4)="",0,IF(INDEX($A539:$AD539,$AG$6)&lt;&gt;"NON-COMPLIED",0,IF(COUNTIFS(INDEX($A$3:$AD$539,0,$AG$4),INDEX($A539:$AD539,$AG$4),INDEX($A$3:$AD$539,0,$AG$6),"NON-COMPLIED")=1,1,0)))))</f>
        <v>0</v>
      </c>
    </row>
    <row r="540" customFormat="false" ht="15" hidden="false" customHeight="false" outlineLevel="0" collapsed="false">
      <c r="AH540" s="21" t="n">
        <f aca="false">IF($AG$4=0,0,IF($AG$6=0,0,IF(INDEX($A540:$AD540,$AG$4)="",0,IF(INDEX($A540:$AD540,$AG$6)&lt;&gt;"NON-COMPLIED",0,IF(COUNTIFS(INDEX($A$3:$AD$540,0,$AG$4),INDEX($A540:$AD540,$AG$4),INDEX($A$3:$AD$540,0,$AG$6),"NON-COMPLIED")=1,1,0)))))</f>
        <v>0</v>
      </c>
    </row>
    <row r="541" customFormat="false" ht="15" hidden="false" customHeight="false" outlineLevel="0" collapsed="false">
      <c r="AH541" s="21" t="n">
        <f aca="false">IF($AG$4=0,0,IF($AG$6=0,0,IF(INDEX($A541:$AD541,$AG$4)="",0,IF(INDEX($A541:$AD541,$AG$6)&lt;&gt;"NON-COMPLIED",0,IF(COUNTIFS(INDEX($A$3:$AD$541,0,$AG$4),INDEX($A541:$AD541,$AG$4),INDEX($A$3:$AD$541,0,$AG$6),"NON-COMPLIED")=1,1,0)))))</f>
        <v>0</v>
      </c>
    </row>
    <row r="542" customFormat="false" ht="15" hidden="false" customHeight="false" outlineLevel="0" collapsed="false">
      <c r="AH542" s="21" t="n">
        <f aca="false">IF($AG$4=0,0,IF($AG$6=0,0,IF(INDEX($A542:$AD542,$AG$4)="",0,IF(INDEX($A542:$AD542,$AG$6)&lt;&gt;"NON-COMPLIED",0,IF(COUNTIFS(INDEX($A$3:$AD$542,0,$AG$4),INDEX($A542:$AD542,$AG$4),INDEX($A$3:$AD$542,0,$AG$6),"NON-COMPLIED")=1,1,0)))))</f>
        <v>0</v>
      </c>
    </row>
    <row r="543" customFormat="false" ht="15" hidden="false" customHeight="false" outlineLevel="0" collapsed="false">
      <c r="AH543" s="21" t="n">
        <f aca="false">IF($AG$4=0,0,IF($AG$6=0,0,IF(INDEX($A543:$AD543,$AG$4)="",0,IF(INDEX($A543:$AD543,$AG$6)&lt;&gt;"NON-COMPLIED",0,IF(COUNTIFS(INDEX($A$3:$AD$543,0,$AG$4),INDEX($A543:$AD543,$AG$4),INDEX($A$3:$AD$543,0,$AG$6),"NON-COMPLIED")=1,1,0)))))</f>
        <v>0</v>
      </c>
    </row>
    <row r="544" customFormat="false" ht="15" hidden="false" customHeight="false" outlineLevel="0" collapsed="false">
      <c r="AH544" s="21" t="n">
        <f aca="false">IF($AG$4=0,0,IF($AG$6=0,0,IF(INDEX($A544:$AD544,$AG$4)="",0,IF(INDEX($A544:$AD544,$AG$6)&lt;&gt;"NON-COMPLIED",0,IF(COUNTIFS(INDEX($A$3:$AD$544,0,$AG$4),INDEX($A544:$AD544,$AG$4),INDEX($A$3:$AD$544,0,$AG$6),"NON-COMPLIED")=1,1,0)))))</f>
        <v>0</v>
      </c>
    </row>
    <row r="545" customFormat="false" ht="15" hidden="false" customHeight="false" outlineLevel="0" collapsed="false">
      <c r="AH545" s="21" t="n">
        <f aca="false">IF($AG$4=0,0,IF($AG$6=0,0,IF(INDEX($A545:$AD545,$AG$4)="",0,IF(INDEX($A545:$AD545,$AG$6)&lt;&gt;"NON-COMPLIED",0,IF(COUNTIFS(INDEX($A$3:$AD$545,0,$AG$4),INDEX($A545:$AD545,$AG$4),INDEX($A$3:$AD$545,0,$AG$6),"NON-COMPLIED")=1,1,0)))))</f>
        <v>0</v>
      </c>
    </row>
    <row r="546" customFormat="false" ht="15" hidden="false" customHeight="false" outlineLevel="0" collapsed="false">
      <c r="AH546" s="21" t="n">
        <f aca="false">IF($AG$4=0,0,IF($AG$6=0,0,IF(INDEX($A546:$AD546,$AG$4)="",0,IF(INDEX($A546:$AD546,$AG$6)&lt;&gt;"NON-COMPLIED",0,IF(COUNTIFS(INDEX($A$3:$AD$546,0,$AG$4),INDEX($A546:$AD546,$AG$4),INDEX($A$3:$AD$546,0,$AG$6),"NON-COMPLIED")=1,1,0)))))</f>
        <v>0</v>
      </c>
    </row>
    <row r="547" customFormat="false" ht="15" hidden="false" customHeight="false" outlineLevel="0" collapsed="false">
      <c r="AH547" s="21" t="n">
        <f aca="false">IF($AG$4=0,0,IF($AG$6=0,0,IF(INDEX($A547:$AD547,$AG$4)="",0,IF(INDEX($A547:$AD547,$AG$6)&lt;&gt;"NON-COMPLIED",0,IF(COUNTIFS(INDEX($A$3:$AD$547,0,$AG$4),INDEX($A547:$AD547,$AG$4),INDEX($A$3:$AD$547,0,$AG$6),"NON-COMPLIED")=1,1,0)))))</f>
        <v>0</v>
      </c>
    </row>
    <row r="548" customFormat="false" ht="15" hidden="false" customHeight="false" outlineLevel="0" collapsed="false">
      <c r="AH548" s="21" t="n">
        <f aca="false">IF($AG$4=0,0,IF($AG$6=0,0,IF(INDEX($A548:$AD548,$AG$4)="",0,IF(INDEX($A548:$AD548,$AG$6)&lt;&gt;"NON-COMPLIED",0,IF(COUNTIFS(INDEX($A$3:$AD$548,0,$AG$4),INDEX($A548:$AD548,$AG$4),INDEX($A$3:$AD$548,0,$AG$6),"NON-COMPLIED")=1,1,0)))))</f>
        <v>0</v>
      </c>
    </row>
    <row r="549" customFormat="false" ht="15" hidden="false" customHeight="false" outlineLevel="0" collapsed="false">
      <c r="AH549" s="21" t="n">
        <f aca="false">IF($AG$4=0,0,IF($AG$6=0,0,IF(INDEX($A549:$AD549,$AG$4)="",0,IF(INDEX($A549:$AD549,$AG$6)&lt;&gt;"NON-COMPLIED",0,IF(COUNTIFS(INDEX($A$3:$AD$549,0,$AG$4),INDEX($A549:$AD549,$AG$4),INDEX($A$3:$AD$549,0,$AG$6),"NON-COMPLIED")=1,1,0)))))</f>
        <v>0</v>
      </c>
    </row>
    <row r="550" customFormat="false" ht="15" hidden="false" customHeight="false" outlineLevel="0" collapsed="false">
      <c r="AH550" s="21" t="n">
        <f aca="false">IF($AG$4=0,0,IF($AG$6=0,0,IF(INDEX($A550:$AD550,$AG$4)="",0,IF(INDEX($A550:$AD550,$AG$6)&lt;&gt;"NON-COMPLIED",0,IF(COUNTIFS(INDEX($A$3:$AD$550,0,$AG$4),INDEX($A550:$AD550,$AG$4),INDEX($A$3:$AD$550,0,$AG$6),"NON-COMPLIED")=1,1,0)))))</f>
        <v>0</v>
      </c>
    </row>
    <row r="551" customFormat="false" ht="15" hidden="false" customHeight="false" outlineLevel="0" collapsed="false">
      <c r="AH551" s="21" t="n">
        <f aca="false">IF($AG$4=0,0,IF($AG$6=0,0,IF(INDEX($A551:$AD551,$AG$4)="",0,IF(INDEX($A551:$AD551,$AG$6)&lt;&gt;"NON-COMPLIED",0,IF(COUNTIFS(INDEX($A$3:$AD$551,0,$AG$4),INDEX($A551:$AD551,$AG$4),INDEX($A$3:$AD$551,0,$AG$6),"NON-COMPLIED")=1,1,0)))))</f>
        <v>0</v>
      </c>
    </row>
    <row r="552" customFormat="false" ht="15" hidden="false" customHeight="false" outlineLevel="0" collapsed="false">
      <c r="AH552" s="21" t="n">
        <f aca="false">IF($AG$4=0,0,IF($AG$6=0,0,IF(INDEX($A552:$AD552,$AG$4)="",0,IF(INDEX($A552:$AD552,$AG$6)&lt;&gt;"NON-COMPLIED",0,IF(COUNTIFS(INDEX($A$3:$AD$552,0,$AG$4),INDEX($A552:$AD552,$AG$4),INDEX($A$3:$AD$552,0,$AG$6),"NON-COMPLIED")=1,1,0)))))</f>
        <v>0</v>
      </c>
    </row>
    <row r="553" customFormat="false" ht="15" hidden="false" customHeight="false" outlineLevel="0" collapsed="false">
      <c r="AH553" s="21" t="n">
        <f aca="false">IF($AG$4=0,0,IF($AG$6=0,0,IF(INDEX($A553:$AD553,$AG$4)="",0,IF(INDEX($A553:$AD553,$AG$6)&lt;&gt;"NON-COMPLIED",0,IF(COUNTIFS(INDEX($A$3:$AD$553,0,$AG$4),INDEX($A553:$AD553,$AG$4),INDEX($A$3:$AD$553,0,$AG$6),"NON-COMPLIED")=1,1,0)))))</f>
        <v>0</v>
      </c>
    </row>
    <row r="554" customFormat="false" ht="15" hidden="false" customHeight="false" outlineLevel="0" collapsed="false">
      <c r="AH554" s="21" t="n">
        <f aca="false">IF($AG$4=0,0,IF($AG$6=0,0,IF(INDEX($A554:$AD554,$AG$4)="",0,IF(INDEX($A554:$AD554,$AG$6)&lt;&gt;"NON-COMPLIED",0,IF(COUNTIFS(INDEX($A$3:$AD$554,0,$AG$4),INDEX($A554:$AD554,$AG$4),INDEX($A$3:$AD$554,0,$AG$6),"NON-COMPLIED")=1,1,0)))))</f>
        <v>0</v>
      </c>
    </row>
    <row r="555" customFormat="false" ht="15" hidden="false" customHeight="false" outlineLevel="0" collapsed="false">
      <c r="AH555" s="21" t="n">
        <f aca="false">IF($AG$4=0,0,IF($AG$6=0,0,IF(INDEX($A555:$AD555,$AG$4)="",0,IF(INDEX($A555:$AD555,$AG$6)&lt;&gt;"NON-COMPLIED",0,IF(COUNTIFS(INDEX($A$3:$AD$555,0,$AG$4),INDEX($A555:$AD555,$AG$4),INDEX($A$3:$AD$555,0,$AG$6),"NON-COMPLIED")=1,1,0)))))</f>
        <v>0</v>
      </c>
    </row>
    <row r="556" customFormat="false" ht="15" hidden="false" customHeight="false" outlineLevel="0" collapsed="false">
      <c r="AH556" s="21" t="n">
        <f aca="false">IF($AG$4=0,0,IF($AG$6=0,0,IF(INDEX($A556:$AD556,$AG$4)="",0,IF(INDEX($A556:$AD556,$AG$6)&lt;&gt;"NON-COMPLIED",0,IF(COUNTIFS(INDEX($A$3:$AD$556,0,$AG$4),INDEX($A556:$AD556,$AG$4),INDEX($A$3:$AD$556,0,$AG$6),"NON-COMPLIED")=1,1,0)))))</f>
        <v>0</v>
      </c>
    </row>
    <row r="557" customFormat="false" ht="15" hidden="false" customHeight="false" outlineLevel="0" collapsed="false">
      <c r="AH557" s="21" t="n">
        <f aca="false">IF($AG$4=0,0,IF($AG$6=0,0,IF(INDEX($A557:$AD557,$AG$4)="",0,IF(INDEX($A557:$AD557,$AG$6)&lt;&gt;"NON-COMPLIED",0,IF(COUNTIFS(INDEX($A$3:$AD$557,0,$AG$4),INDEX($A557:$AD557,$AG$4),INDEX($A$3:$AD$557,0,$AG$6),"NON-COMPLIED")=1,1,0)))))</f>
        <v>0</v>
      </c>
    </row>
    <row r="558" customFormat="false" ht="15" hidden="false" customHeight="false" outlineLevel="0" collapsed="false">
      <c r="AH558" s="21" t="n">
        <f aca="false">IF($AG$4=0,0,IF($AG$6=0,0,IF(INDEX($A558:$AD558,$AG$4)="",0,IF(INDEX($A558:$AD558,$AG$6)&lt;&gt;"NON-COMPLIED",0,IF(COUNTIFS(INDEX($A$3:$AD$558,0,$AG$4),INDEX($A558:$AD558,$AG$4),INDEX($A$3:$AD$558,0,$AG$6),"NON-COMPLIED")=1,1,0)))))</f>
        <v>0</v>
      </c>
    </row>
    <row r="559" customFormat="false" ht="15" hidden="false" customHeight="false" outlineLevel="0" collapsed="false">
      <c r="AH559" s="21" t="n">
        <f aca="false">IF($AG$4=0,0,IF($AG$6=0,0,IF(INDEX($A559:$AD559,$AG$4)="",0,IF(INDEX($A559:$AD559,$AG$6)&lt;&gt;"NON-COMPLIED",0,IF(COUNTIFS(INDEX($A$3:$AD$559,0,$AG$4),INDEX($A559:$AD559,$AG$4),INDEX($A$3:$AD$559,0,$AG$6),"NON-COMPLIED")=1,1,0)))))</f>
        <v>0</v>
      </c>
    </row>
    <row r="560" customFormat="false" ht="15" hidden="false" customHeight="false" outlineLevel="0" collapsed="false">
      <c r="AH560" s="21" t="n">
        <f aca="false">IF($AG$4=0,0,IF($AG$6=0,0,IF(INDEX($A560:$AD560,$AG$4)="",0,IF(INDEX($A560:$AD560,$AG$6)&lt;&gt;"NON-COMPLIED",0,IF(COUNTIFS(INDEX($A$3:$AD$560,0,$AG$4),INDEX($A560:$AD560,$AG$4),INDEX($A$3:$AD$560,0,$AG$6),"NON-COMPLIED")=1,1,0)))))</f>
        <v>0</v>
      </c>
    </row>
    <row r="561" customFormat="false" ht="15" hidden="false" customHeight="false" outlineLevel="0" collapsed="false">
      <c r="AH561" s="21" t="n">
        <f aca="false">IF($AG$4=0,0,IF($AG$6=0,0,IF(INDEX($A561:$AD561,$AG$4)="",0,IF(INDEX($A561:$AD561,$AG$6)&lt;&gt;"NON-COMPLIED",0,IF(COUNTIFS(INDEX($A$3:$AD$561,0,$AG$4),INDEX($A561:$AD561,$AG$4),INDEX($A$3:$AD$561,0,$AG$6),"NON-COMPLIED")=1,1,0)))))</f>
        <v>0</v>
      </c>
    </row>
    <row r="562" customFormat="false" ht="15" hidden="false" customHeight="false" outlineLevel="0" collapsed="false">
      <c r="AH562" s="21" t="n">
        <f aca="false">IF($AG$4=0,0,IF($AG$6=0,0,IF(INDEX($A562:$AD562,$AG$4)="",0,IF(INDEX($A562:$AD562,$AG$6)&lt;&gt;"NON-COMPLIED",0,IF(COUNTIFS(INDEX($A$3:$AD$562,0,$AG$4),INDEX($A562:$AD562,$AG$4),INDEX($A$3:$AD$562,0,$AG$6),"NON-COMPLIED")=1,1,0)))))</f>
        <v>0</v>
      </c>
    </row>
    <row r="563" customFormat="false" ht="15" hidden="false" customHeight="false" outlineLevel="0" collapsed="false">
      <c r="AH563" s="21" t="n">
        <f aca="false">IF($AG$4=0,0,IF($AG$6=0,0,IF(INDEX($A563:$AD563,$AG$4)="",0,IF(INDEX($A563:$AD563,$AG$6)&lt;&gt;"NON-COMPLIED",0,IF(COUNTIFS(INDEX($A$3:$AD$563,0,$AG$4),INDEX($A563:$AD563,$AG$4),INDEX($A$3:$AD$563,0,$AG$6),"NON-COMPLIED")=1,1,0)))))</f>
        <v>0</v>
      </c>
    </row>
    <row r="564" customFormat="false" ht="15" hidden="false" customHeight="false" outlineLevel="0" collapsed="false">
      <c r="AH564" s="21" t="n">
        <f aca="false">IF($AG$4=0,0,IF($AG$6=0,0,IF(INDEX($A564:$AD564,$AG$4)="",0,IF(INDEX($A564:$AD564,$AG$6)&lt;&gt;"NON-COMPLIED",0,IF(COUNTIFS(INDEX($A$3:$AD$564,0,$AG$4),INDEX($A564:$AD564,$AG$4),INDEX($A$3:$AD$564,0,$AG$6),"NON-COMPLIED")=1,1,0)))))</f>
        <v>0</v>
      </c>
    </row>
    <row r="565" customFormat="false" ht="15" hidden="false" customHeight="false" outlineLevel="0" collapsed="false">
      <c r="AH565" s="21" t="n">
        <f aca="false">IF($AG$4=0,0,IF($AG$6=0,0,IF(INDEX($A565:$AD565,$AG$4)="",0,IF(INDEX($A565:$AD565,$AG$6)&lt;&gt;"NON-COMPLIED",0,IF(COUNTIFS(INDEX($A$3:$AD$565,0,$AG$4),INDEX($A565:$AD565,$AG$4),INDEX($A$3:$AD$565,0,$AG$6),"NON-COMPLIED")=1,1,0)))))</f>
        <v>0</v>
      </c>
    </row>
    <row r="566" customFormat="false" ht="15" hidden="false" customHeight="false" outlineLevel="0" collapsed="false">
      <c r="AH566" s="21" t="n">
        <f aca="false">IF($AG$4=0,0,IF($AG$6=0,0,IF(INDEX($A566:$AD566,$AG$4)="",0,IF(INDEX($A566:$AD566,$AG$6)&lt;&gt;"NON-COMPLIED",0,IF(COUNTIFS(INDEX($A$3:$AD$566,0,$AG$4),INDEX($A566:$AD566,$AG$4),INDEX($A$3:$AD$566,0,$AG$6),"NON-COMPLIED")=1,1,0)))))</f>
        <v>0</v>
      </c>
    </row>
    <row r="567" customFormat="false" ht="15" hidden="false" customHeight="false" outlineLevel="0" collapsed="false">
      <c r="AH567" s="21" t="n">
        <f aca="false">IF($AG$4=0,0,IF($AG$6=0,0,IF(INDEX($A567:$AD567,$AG$4)="",0,IF(INDEX($A567:$AD567,$AG$6)&lt;&gt;"NON-COMPLIED",0,IF(COUNTIFS(INDEX($A$3:$AD$567,0,$AG$4),INDEX($A567:$AD567,$AG$4),INDEX($A$3:$AD$567,0,$AG$6),"NON-COMPLIED")=1,1,0)))))</f>
        <v>0</v>
      </c>
    </row>
    <row r="568" customFormat="false" ht="15" hidden="false" customHeight="false" outlineLevel="0" collapsed="false">
      <c r="AH568" s="21" t="n">
        <f aca="false">IF($AG$4=0,0,IF($AG$6=0,0,IF(INDEX($A568:$AD568,$AG$4)="",0,IF(INDEX($A568:$AD568,$AG$6)&lt;&gt;"NON-COMPLIED",0,IF(COUNTIFS(INDEX($A$3:$AD$568,0,$AG$4),INDEX($A568:$AD568,$AG$4),INDEX($A$3:$AD$568,0,$AG$6),"NON-COMPLIED")=1,1,0)))))</f>
        <v>0</v>
      </c>
    </row>
    <row r="569" customFormat="false" ht="15" hidden="false" customHeight="false" outlineLevel="0" collapsed="false">
      <c r="AH569" s="21" t="n">
        <f aca="false">IF($AG$4=0,0,IF($AG$6=0,0,IF(INDEX($A569:$AD569,$AG$4)="",0,IF(INDEX($A569:$AD569,$AG$6)&lt;&gt;"NON-COMPLIED",0,IF(COUNTIFS(INDEX($A$3:$AD$569,0,$AG$4),INDEX($A569:$AD569,$AG$4),INDEX($A$3:$AD$569,0,$AG$6),"NON-COMPLIED")=1,1,0)))))</f>
        <v>0</v>
      </c>
    </row>
    <row r="570" customFormat="false" ht="15" hidden="false" customHeight="false" outlineLevel="0" collapsed="false">
      <c r="AH570" s="21" t="n">
        <f aca="false">IF($AG$4=0,0,IF($AG$6=0,0,IF(INDEX($A570:$AD570,$AG$4)="",0,IF(INDEX($A570:$AD570,$AG$6)&lt;&gt;"NON-COMPLIED",0,IF(COUNTIFS(INDEX($A$3:$AD$570,0,$AG$4),INDEX($A570:$AD570,$AG$4),INDEX($A$3:$AD$570,0,$AG$6),"NON-COMPLIED")=1,1,0)))))</f>
        <v>0</v>
      </c>
    </row>
    <row r="571" customFormat="false" ht="15" hidden="false" customHeight="false" outlineLevel="0" collapsed="false">
      <c r="AH571" s="21" t="n">
        <f aca="false">IF($AG$4=0,0,IF($AG$6=0,0,IF(INDEX($A571:$AD571,$AG$4)="",0,IF(INDEX($A571:$AD571,$AG$6)&lt;&gt;"NON-COMPLIED",0,IF(COUNTIFS(INDEX($A$3:$AD$571,0,$AG$4),INDEX($A571:$AD571,$AG$4),INDEX($A$3:$AD$571,0,$AG$6),"NON-COMPLIED")=1,1,0)))))</f>
        <v>0</v>
      </c>
    </row>
    <row r="572" customFormat="false" ht="15" hidden="false" customHeight="false" outlineLevel="0" collapsed="false">
      <c r="AH572" s="21" t="n">
        <f aca="false">IF($AG$4=0,0,IF($AG$6=0,0,IF(INDEX($A572:$AD572,$AG$4)="",0,IF(INDEX($A572:$AD572,$AG$6)&lt;&gt;"NON-COMPLIED",0,IF(COUNTIFS(INDEX($A$3:$AD$572,0,$AG$4),INDEX($A572:$AD572,$AG$4),INDEX($A$3:$AD$572,0,$AG$6),"NON-COMPLIED")=1,1,0)))))</f>
        <v>0</v>
      </c>
    </row>
    <row r="573" customFormat="false" ht="15" hidden="false" customHeight="false" outlineLevel="0" collapsed="false">
      <c r="AH573" s="21" t="n">
        <f aca="false">IF($AG$4=0,0,IF($AG$6=0,0,IF(INDEX($A573:$AD573,$AG$4)="",0,IF(INDEX($A573:$AD573,$AG$6)&lt;&gt;"NON-COMPLIED",0,IF(COUNTIFS(INDEX($A$3:$AD$573,0,$AG$4),INDEX($A573:$AD573,$AG$4),INDEX($A$3:$AD$573,0,$AG$6),"NON-COMPLIED")=1,1,0)))))</f>
        <v>0</v>
      </c>
    </row>
    <row r="574" customFormat="false" ht="15" hidden="false" customHeight="false" outlineLevel="0" collapsed="false">
      <c r="AH574" s="21" t="n">
        <f aca="false">IF($AG$4=0,0,IF($AG$6=0,0,IF(INDEX($A574:$AD574,$AG$4)="",0,IF(INDEX($A574:$AD574,$AG$6)&lt;&gt;"NON-COMPLIED",0,IF(COUNTIFS(INDEX($A$3:$AD$574,0,$AG$4),INDEX($A574:$AD574,$AG$4),INDEX($A$3:$AD$574,0,$AG$6),"NON-COMPLIED")=1,1,0)))))</f>
        <v>0</v>
      </c>
    </row>
    <row r="575" customFormat="false" ht="15" hidden="false" customHeight="false" outlineLevel="0" collapsed="false">
      <c r="AH575" s="21" t="n">
        <f aca="false">IF($AG$4=0,0,IF($AG$6=0,0,IF(INDEX($A575:$AD575,$AG$4)="",0,IF(INDEX($A575:$AD575,$AG$6)&lt;&gt;"NON-COMPLIED",0,IF(COUNTIFS(INDEX($A$3:$AD$575,0,$AG$4),INDEX($A575:$AD575,$AG$4),INDEX($A$3:$AD$575,0,$AG$6),"NON-COMPLIED")=1,1,0)))))</f>
        <v>0</v>
      </c>
    </row>
    <row r="576" customFormat="false" ht="15" hidden="false" customHeight="false" outlineLevel="0" collapsed="false">
      <c r="AH576" s="21" t="n">
        <f aca="false">IF($AG$4=0,0,IF($AG$6=0,0,IF(INDEX($A576:$AD576,$AG$4)="",0,IF(INDEX($A576:$AD576,$AG$6)&lt;&gt;"NON-COMPLIED",0,IF(COUNTIFS(INDEX($A$3:$AD$576,0,$AG$4),INDEX($A576:$AD576,$AG$4),INDEX($A$3:$AD$576,0,$AG$6),"NON-COMPLIED")=1,1,0)))))</f>
        <v>0</v>
      </c>
    </row>
    <row r="577" customFormat="false" ht="15" hidden="false" customHeight="false" outlineLevel="0" collapsed="false">
      <c r="AH577" s="21" t="n">
        <f aca="false">IF($AG$4=0,0,IF($AG$6=0,0,IF(INDEX($A577:$AD577,$AG$4)="",0,IF(INDEX($A577:$AD577,$AG$6)&lt;&gt;"NON-COMPLIED",0,IF(COUNTIFS(INDEX($A$3:$AD$577,0,$AG$4),INDEX($A577:$AD577,$AG$4),INDEX($A$3:$AD$577,0,$AG$6),"NON-COMPLIED")=1,1,0)))))</f>
        <v>0</v>
      </c>
    </row>
    <row r="578" customFormat="false" ht="15" hidden="false" customHeight="false" outlineLevel="0" collapsed="false">
      <c r="AH578" s="21" t="n">
        <f aca="false">IF($AG$4=0,0,IF($AG$6=0,0,IF(INDEX($A578:$AD578,$AG$4)="",0,IF(INDEX($A578:$AD578,$AG$6)&lt;&gt;"NON-COMPLIED",0,IF(COUNTIFS(INDEX($A$3:$AD$578,0,$AG$4),INDEX($A578:$AD578,$AG$4),INDEX($A$3:$AD$578,0,$AG$6),"NON-COMPLIED")=1,1,0)))))</f>
        <v>0</v>
      </c>
    </row>
    <row r="579" customFormat="false" ht="15" hidden="false" customHeight="false" outlineLevel="0" collapsed="false">
      <c r="AH579" s="21" t="n">
        <f aca="false">IF($AG$4=0,0,IF($AG$6=0,0,IF(INDEX($A579:$AD579,$AG$4)="",0,IF(INDEX($A579:$AD579,$AG$6)&lt;&gt;"NON-COMPLIED",0,IF(COUNTIFS(INDEX($A$3:$AD$579,0,$AG$4),INDEX($A579:$AD579,$AG$4),INDEX($A$3:$AD$579,0,$AG$6),"NON-COMPLIED")=1,1,0)))))</f>
        <v>0</v>
      </c>
    </row>
    <row r="580" customFormat="false" ht="15" hidden="false" customHeight="false" outlineLevel="0" collapsed="false">
      <c r="AH580" s="21" t="n">
        <f aca="false">IF($AG$4=0,0,IF($AG$6=0,0,IF(INDEX($A580:$AD580,$AG$4)="",0,IF(INDEX($A580:$AD580,$AG$6)&lt;&gt;"NON-COMPLIED",0,IF(COUNTIFS(INDEX($A$3:$AD$580,0,$AG$4),INDEX($A580:$AD580,$AG$4),INDEX($A$3:$AD$580,0,$AG$6),"NON-COMPLIED")=1,1,0)))))</f>
        <v>0</v>
      </c>
    </row>
    <row r="581" customFormat="false" ht="15" hidden="false" customHeight="false" outlineLevel="0" collapsed="false">
      <c r="AH581" s="21" t="n">
        <f aca="false">IF($AG$4=0,0,IF($AG$6=0,0,IF(INDEX($A581:$AD581,$AG$4)="",0,IF(INDEX($A581:$AD581,$AG$6)&lt;&gt;"NON-COMPLIED",0,IF(COUNTIFS(INDEX($A$3:$AD$581,0,$AG$4),INDEX($A581:$AD581,$AG$4),INDEX($A$3:$AD$581,0,$AG$6),"NON-COMPLIED")=1,1,0)))))</f>
        <v>0</v>
      </c>
    </row>
    <row r="582" customFormat="false" ht="15" hidden="false" customHeight="false" outlineLevel="0" collapsed="false">
      <c r="AH582" s="21" t="n">
        <f aca="false">IF($AG$4=0,0,IF($AG$6=0,0,IF(INDEX($A582:$AD582,$AG$4)="",0,IF(INDEX($A582:$AD582,$AG$6)&lt;&gt;"NON-COMPLIED",0,IF(COUNTIFS(INDEX($A$3:$AD$582,0,$AG$4),INDEX($A582:$AD582,$AG$4),INDEX($A$3:$AD$582,0,$AG$6),"NON-COMPLIED")=1,1,0)))))</f>
        <v>0</v>
      </c>
    </row>
    <row r="583" customFormat="false" ht="15" hidden="false" customHeight="false" outlineLevel="0" collapsed="false">
      <c r="AH583" s="21" t="n">
        <f aca="false">IF($AG$4=0,0,IF($AG$6=0,0,IF(INDEX($A583:$AD583,$AG$4)="",0,IF(INDEX($A583:$AD583,$AG$6)&lt;&gt;"NON-COMPLIED",0,IF(COUNTIFS(INDEX($A$3:$AD$583,0,$AG$4),INDEX($A583:$AD583,$AG$4),INDEX($A$3:$AD$583,0,$AG$6),"NON-COMPLIED")=1,1,0)))))</f>
        <v>0</v>
      </c>
    </row>
    <row r="584" customFormat="false" ht="15" hidden="false" customHeight="false" outlineLevel="0" collapsed="false">
      <c r="AH584" s="21" t="n">
        <f aca="false">IF($AG$4=0,0,IF($AG$6=0,0,IF(INDEX($A584:$AD584,$AG$4)="",0,IF(INDEX($A584:$AD584,$AG$6)&lt;&gt;"NON-COMPLIED",0,IF(COUNTIFS(INDEX($A$3:$AD$584,0,$AG$4),INDEX($A584:$AD584,$AG$4),INDEX($A$3:$AD$584,0,$AG$6),"NON-COMPLIED")=1,1,0)))))</f>
        <v>0</v>
      </c>
    </row>
    <row r="585" customFormat="false" ht="15" hidden="false" customHeight="false" outlineLevel="0" collapsed="false">
      <c r="AH585" s="21" t="n">
        <f aca="false">IF($AG$4=0,0,IF($AG$6=0,0,IF(INDEX($A585:$AD585,$AG$4)="",0,IF(INDEX($A585:$AD585,$AG$6)&lt;&gt;"NON-COMPLIED",0,IF(COUNTIFS(INDEX($A$3:$AD$585,0,$AG$4),INDEX($A585:$AD585,$AG$4),INDEX($A$3:$AD$585,0,$AG$6),"NON-COMPLIED")=1,1,0)))))</f>
        <v>0</v>
      </c>
    </row>
    <row r="586" customFormat="false" ht="15" hidden="false" customHeight="false" outlineLevel="0" collapsed="false">
      <c r="AH586" s="21" t="n">
        <f aca="false">IF($AG$4=0,0,IF($AG$6=0,0,IF(INDEX($A586:$AD586,$AG$4)="",0,IF(INDEX($A586:$AD586,$AG$6)&lt;&gt;"NON-COMPLIED",0,IF(COUNTIFS(INDEX($A$3:$AD$586,0,$AG$4),INDEX($A586:$AD586,$AG$4),INDEX($A$3:$AD$586,0,$AG$6),"NON-COMPLIED")=1,1,0)))))</f>
        <v>0</v>
      </c>
    </row>
    <row r="587" customFormat="false" ht="15" hidden="false" customHeight="false" outlineLevel="0" collapsed="false">
      <c r="AH587" s="21" t="n">
        <f aca="false">IF($AG$4=0,0,IF($AG$6=0,0,IF(INDEX($A587:$AD587,$AG$4)="",0,IF(INDEX($A587:$AD587,$AG$6)&lt;&gt;"NON-COMPLIED",0,IF(COUNTIFS(INDEX($A$3:$AD$587,0,$AG$4),INDEX($A587:$AD587,$AG$4),INDEX($A$3:$AD$587,0,$AG$6),"NON-COMPLIED")=1,1,0)))))</f>
        <v>0</v>
      </c>
    </row>
    <row r="588" customFormat="false" ht="15" hidden="false" customHeight="false" outlineLevel="0" collapsed="false">
      <c r="AH588" s="21" t="n">
        <f aca="false">IF($AG$4=0,0,IF($AG$6=0,0,IF(INDEX($A588:$AD588,$AG$4)="",0,IF(INDEX($A588:$AD588,$AG$6)&lt;&gt;"NON-COMPLIED",0,IF(COUNTIFS(INDEX($A$3:$AD$588,0,$AG$4),INDEX($A588:$AD588,$AG$4),INDEX($A$3:$AD$588,0,$AG$6),"NON-COMPLIED")=1,1,0)))))</f>
        <v>0</v>
      </c>
    </row>
    <row r="589" customFormat="false" ht="15" hidden="false" customHeight="false" outlineLevel="0" collapsed="false">
      <c r="AH589" s="21" t="n">
        <f aca="false">IF($AG$4=0,0,IF($AG$6=0,0,IF(INDEX($A589:$AD589,$AG$4)="",0,IF(INDEX($A589:$AD589,$AG$6)&lt;&gt;"NON-COMPLIED",0,IF(COUNTIFS(INDEX($A$3:$AD$589,0,$AG$4),INDEX($A589:$AD589,$AG$4),INDEX($A$3:$AD$589,0,$AG$6),"NON-COMPLIED")=1,1,0)))))</f>
        <v>0</v>
      </c>
    </row>
    <row r="590" customFormat="false" ht="15" hidden="false" customHeight="false" outlineLevel="0" collapsed="false">
      <c r="AH590" s="21" t="n">
        <f aca="false">IF($AG$4=0,0,IF($AG$6=0,0,IF(INDEX($A590:$AD590,$AG$4)="",0,IF(INDEX($A590:$AD590,$AG$6)&lt;&gt;"NON-COMPLIED",0,IF(COUNTIFS(INDEX($A$3:$AD$590,0,$AG$4),INDEX($A590:$AD590,$AG$4),INDEX($A$3:$AD$590,0,$AG$6),"NON-COMPLIED")=1,1,0)))))</f>
        <v>0</v>
      </c>
    </row>
    <row r="591" customFormat="false" ht="15" hidden="false" customHeight="false" outlineLevel="0" collapsed="false">
      <c r="AH591" s="21" t="n">
        <f aca="false">IF($AG$4=0,0,IF($AG$6=0,0,IF(INDEX($A591:$AD591,$AG$4)="",0,IF(INDEX($A591:$AD591,$AG$6)&lt;&gt;"NON-COMPLIED",0,IF(COUNTIFS(INDEX($A$3:$AD$591,0,$AG$4),INDEX($A591:$AD591,$AG$4),INDEX($A$3:$AD$591,0,$AG$6),"NON-COMPLIED")=1,1,0)))))</f>
        <v>0</v>
      </c>
    </row>
    <row r="592" customFormat="false" ht="15" hidden="false" customHeight="false" outlineLevel="0" collapsed="false">
      <c r="AH592" s="21" t="n">
        <f aca="false">IF($AG$4=0,0,IF($AG$6=0,0,IF(INDEX($A592:$AD592,$AG$4)="",0,IF(INDEX($A592:$AD592,$AG$6)&lt;&gt;"NON-COMPLIED",0,IF(COUNTIFS(INDEX($A$3:$AD$592,0,$AG$4),INDEX($A592:$AD592,$AG$4),INDEX($A$3:$AD$592,0,$AG$6),"NON-COMPLIED")=1,1,0)))))</f>
        <v>0</v>
      </c>
    </row>
    <row r="593" customFormat="false" ht="15" hidden="false" customHeight="false" outlineLevel="0" collapsed="false">
      <c r="AH593" s="21" t="n">
        <f aca="false">IF($AG$4=0,0,IF($AG$6=0,0,IF(INDEX($A593:$AD593,$AG$4)="",0,IF(INDEX($A593:$AD593,$AG$6)&lt;&gt;"NON-COMPLIED",0,IF(COUNTIFS(INDEX($A$3:$AD$593,0,$AG$4),INDEX($A593:$AD593,$AG$4),INDEX($A$3:$AD$593,0,$AG$6),"NON-COMPLIED")=1,1,0)))))</f>
        <v>0</v>
      </c>
    </row>
    <row r="594" customFormat="false" ht="15" hidden="false" customHeight="false" outlineLevel="0" collapsed="false">
      <c r="AH594" s="21" t="n">
        <f aca="false">IF($AG$4=0,0,IF($AG$6=0,0,IF(INDEX($A594:$AD594,$AG$4)="",0,IF(INDEX($A594:$AD594,$AG$6)&lt;&gt;"NON-COMPLIED",0,IF(COUNTIFS(INDEX($A$3:$AD$594,0,$AG$4),INDEX($A594:$AD594,$AG$4),INDEX($A$3:$AD$594,0,$AG$6),"NON-COMPLIED")=1,1,0)))))</f>
        <v>0</v>
      </c>
    </row>
    <row r="595" customFormat="false" ht="15" hidden="false" customHeight="false" outlineLevel="0" collapsed="false">
      <c r="AH595" s="21" t="n">
        <f aca="false">IF($AG$4=0,0,IF($AG$6=0,0,IF(INDEX($A595:$AD595,$AG$4)="",0,IF(INDEX($A595:$AD595,$AG$6)&lt;&gt;"NON-COMPLIED",0,IF(COUNTIFS(INDEX($A$3:$AD$595,0,$AG$4),INDEX($A595:$AD595,$AG$4),INDEX($A$3:$AD$595,0,$AG$6),"NON-COMPLIED")=1,1,0)))))</f>
        <v>0</v>
      </c>
    </row>
    <row r="596" customFormat="false" ht="15" hidden="false" customHeight="false" outlineLevel="0" collapsed="false">
      <c r="AH596" s="21" t="n">
        <f aca="false">IF($AG$4=0,0,IF($AG$6=0,0,IF(INDEX($A596:$AD596,$AG$4)="",0,IF(INDEX($A596:$AD596,$AG$6)&lt;&gt;"NON-COMPLIED",0,IF(COUNTIFS(INDEX($A$3:$AD$596,0,$AG$4),INDEX($A596:$AD596,$AG$4),INDEX($A$3:$AD$596,0,$AG$6),"NON-COMPLIED")=1,1,0)))))</f>
        <v>0</v>
      </c>
    </row>
    <row r="597" customFormat="false" ht="15" hidden="false" customHeight="false" outlineLevel="0" collapsed="false">
      <c r="AH597" s="21" t="n">
        <f aca="false">IF($AG$4=0,0,IF($AG$6=0,0,IF(INDEX($A597:$AD597,$AG$4)="",0,IF(INDEX($A597:$AD597,$AG$6)&lt;&gt;"NON-COMPLIED",0,IF(COUNTIFS(INDEX($A$3:$AD$597,0,$AG$4),INDEX($A597:$AD597,$AG$4),INDEX($A$3:$AD$597,0,$AG$6),"NON-COMPLIED")=1,1,0)))))</f>
        <v>0</v>
      </c>
    </row>
    <row r="598" customFormat="false" ht="15" hidden="false" customHeight="false" outlineLevel="0" collapsed="false">
      <c r="AH598" s="21" t="n">
        <f aca="false">IF($AG$4=0,0,IF($AG$6=0,0,IF(INDEX($A598:$AD598,$AG$4)="",0,IF(INDEX($A598:$AD598,$AG$6)&lt;&gt;"NON-COMPLIED",0,IF(COUNTIFS(INDEX($A$3:$AD$598,0,$AG$4),INDEX($A598:$AD598,$AG$4),INDEX($A$3:$AD$598,0,$AG$6),"NON-COMPLIED")=1,1,0)))))</f>
        <v>0</v>
      </c>
    </row>
    <row r="599" customFormat="false" ht="15" hidden="false" customHeight="false" outlineLevel="0" collapsed="false">
      <c r="AH599" s="21" t="n">
        <f aca="false">IF($AG$4=0,0,IF($AG$6=0,0,IF(INDEX($A599:$AD599,$AG$4)="",0,IF(INDEX($A599:$AD599,$AG$6)&lt;&gt;"NON-COMPLIED",0,IF(COUNTIFS(INDEX($A$3:$AD$599,0,$AG$4),INDEX($A599:$AD599,$AG$4),INDEX($A$3:$AD$599,0,$AG$6),"NON-COMPLIED")=1,1,0)))))</f>
        <v>0</v>
      </c>
    </row>
    <row r="600" customFormat="false" ht="15" hidden="false" customHeight="false" outlineLevel="0" collapsed="false">
      <c r="AH600" s="21" t="n">
        <f aca="false">IF($AG$4=0,0,IF($AG$6=0,0,IF(INDEX($A600:$AD600,$AG$4)="",0,IF(INDEX($A600:$AD600,$AG$6)&lt;&gt;"NON-COMPLIED",0,IF(COUNTIFS(INDEX($A$3:$AD$600,0,$AG$4),INDEX($A600:$AD600,$AG$4),INDEX($A$3:$AD$600,0,$AG$6),"NON-COMPLIED")=1,1,0)))))</f>
        <v>0</v>
      </c>
    </row>
    <row r="601" customFormat="false" ht="15" hidden="false" customHeight="false" outlineLevel="0" collapsed="false">
      <c r="AH601" s="21" t="n">
        <f aca="false">IF($AG$4=0,0,IF($AG$6=0,0,IF(INDEX($A601:$AD601,$AG$4)="",0,IF(INDEX($A601:$AD601,$AG$6)&lt;&gt;"NON-COMPLIED",0,IF(COUNTIFS(INDEX($A$3:$AD$601,0,$AG$4),INDEX($A601:$AD601,$AG$4),INDEX($A$3:$AD$601,0,$AG$6),"NON-COMPLIED")=1,1,0)))))</f>
        <v>0</v>
      </c>
    </row>
    <row r="602" customFormat="false" ht="15" hidden="false" customHeight="false" outlineLevel="0" collapsed="false">
      <c r="AH602" s="21" t="n">
        <f aca="false">IF($AG$4=0,0,IF($AG$6=0,0,IF(INDEX($A602:$AD602,$AG$4)="",0,IF(INDEX($A602:$AD602,$AG$6)&lt;&gt;"NON-COMPLIED",0,IF(COUNTIFS(INDEX($A$3:$AD$602,0,$AG$4),INDEX($A602:$AD602,$AG$4),INDEX($A$3:$AD$602,0,$AG$6),"NON-COMPLIED")=1,1,0)))))</f>
        <v>0</v>
      </c>
    </row>
    <row r="603" customFormat="false" ht="15" hidden="false" customHeight="false" outlineLevel="0" collapsed="false">
      <c r="AH603" s="21" t="n">
        <f aca="false">IF($AG$4=0,0,IF($AG$6=0,0,IF(INDEX($A603:$AD603,$AG$4)="",0,IF(INDEX($A603:$AD603,$AG$6)&lt;&gt;"NON-COMPLIED",0,IF(COUNTIFS(INDEX($A$3:$AD$603,0,$AG$4),INDEX($A603:$AD603,$AG$4),INDEX($A$3:$AD$603,0,$AG$6),"NON-COMPLIED")=1,1,0)))))</f>
        <v>0</v>
      </c>
    </row>
    <row r="604" customFormat="false" ht="15" hidden="false" customHeight="false" outlineLevel="0" collapsed="false">
      <c r="AH604" s="21" t="n">
        <f aca="false">IF($AG$4=0,0,IF($AG$6=0,0,IF(INDEX($A604:$AD604,$AG$4)="",0,IF(INDEX($A604:$AD604,$AG$6)&lt;&gt;"NON-COMPLIED",0,IF(COUNTIFS(INDEX($A$3:$AD$604,0,$AG$4),INDEX($A604:$AD604,$AG$4),INDEX($A$3:$AD$604,0,$AG$6),"NON-COMPLIED")=1,1,0)))))</f>
        <v>0</v>
      </c>
    </row>
    <row r="605" customFormat="false" ht="15" hidden="false" customHeight="false" outlineLevel="0" collapsed="false">
      <c r="AH605" s="21" t="n">
        <f aca="false">IF($AG$4=0,0,IF($AG$6=0,0,IF(INDEX($A605:$AD605,$AG$4)="",0,IF(INDEX($A605:$AD605,$AG$6)&lt;&gt;"NON-COMPLIED",0,IF(COUNTIFS(INDEX($A$3:$AD$605,0,$AG$4),INDEX($A605:$AD605,$AG$4),INDEX($A$3:$AD$605,0,$AG$6),"NON-COMPLIED")=1,1,0)))))</f>
        <v>0</v>
      </c>
    </row>
    <row r="606" customFormat="false" ht="15" hidden="false" customHeight="false" outlineLevel="0" collapsed="false">
      <c r="AH606" s="21" t="n">
        <f aca="false">IF($AG$4=0,0,IF($AG$6=0,0,IF(INDEX($A606:$AD606,$AG$4)="",0,IF(INDEX($A606:$AD606,$AG$6)&lt;&gt;"NON-COMPLIED",0,IF(COUNTIFS(INDEX($A$3:$AD$606,0,$AG$4),INDEX($A606:$AD606,$AG$4),INDEX($A$3:$AD$606,0,$AG$6),"NON-COMPLIED")=1,1,0)))))</f>
        <v>0</v>
      </c>
    </row>
    <row r="607" customFormat="false" ht="15" hidden="false" customHeight="false" outlineLevel="0" collapsed="false">
      <c r="AH607" s="21" t="n">
        <f aca="false">IF($AG$4=0,0,IF($AG$6=0,0,IF(INDEX($A607:$AD607,$AG$4)="",0,IF(INDEX($A607:$AD607,$AG$6)&lt;&gt;"NON-COMPLIED",0,IF(COUNTIFS(INDEX($A$3:$AD$607,0,$AG$4),INDEX($A607:$AD607,$AG$4),INDEX($A$3:$AD$607,0,$AG$6),"NON-COMPLIED")=1,1,0)))))</f>
        <v>0</v>
      </c>
    </row>
    <row r="608" customFormat="false" ht="15" hidden="false" customHeight="false" outlineLevel="0" collapsed="false">
      <c r="AH608" s="21" t="n">
        <f aca="false">IF($AG$4=0,0,IF($AG$6=0,0,IF(INDEX($A608:$AD608,$AG$4)="",0,IF(INDEX($A608:$AD608,$AG$6)&lt;&gt;"NON-COMPLIED",0,IF(COUNTIFS(INDEX($A$3:$AD$608,0,$AG$4),INDEX($A608:$AD608,$AG$4),INDEX($A$3:$AD$608,0,$AG$6),"NON-COMPLIED")=1,1,0)))))</f>
        <v>0</v>
      </c>
    </row>
    <row r="609" customFormat="false" ht="15" hidden="false" customHeight="false" outlineLevel="0" collapsed="false">
      <c r="AH609" s="21" t="n">
        <f aca="false">IF($AG$4=0,0,IF($AG$6=0,0,IF(INDEX($A609:$AD609,$AG$4)="",0,IF(INDEX($A609:$AD609,$AG$6)&lt;&gt;"NON-COMPLIED",0,IF(COUNTIFS(INDEX($A$3:$AD$609,0,$AG$4),INDEX($A609:$AD609,$AG$4),INDEX($A$3:$AD$609,0,$AG$6),"NON-COMPLIED")=1,1,0)))))</f>
        <v>0</v>
      </c>
    </row>
    <row r="610" customFormat="false" ht="15" hidden="false" customHeight="false" outlineLevel="0" collapsed="false">
      <c r="AH610" s="21" t="n">
        <f aca="false">IF($AG$4=0,0,IF($AG$6=0,0,IF(INDEX($A610:$AD610,$AG$4)="",0,IF(INDEX($A610:$AD610,$AG$6)&lt;&gt;"NON-COMPLIED",0,IF(COUNTIFS(INDEX($A$3:$AD$610,0,$AG$4),INDEX($A610:$AD610,$AG$4),INDEX($A$3:$AD$610,0,$AG$6),"NON-COMPLIED")=1,1,0)))))</f>
        <v>0</v>
      </c>
    </row>
    <row r="611" customFormat="false" ht="15" hidden="false" customHeight="false" outlineLevel="0" collapsed="false">
      <c r="AH611" s="21" t="n">
        <f aca="false">IF($AG$4=0,0,IF($AG$6=0,0,IF(INDEX($A611:$AD611,$AG$4)="",0,IF(INDEX($A611:$AD611,$AG$6)&lt;&gt;"NON-COMPLIED",0,IF(COUNTIFS(INDEX($A$3:$AD$611,0,$AG$4),INDEX($A611:$AD611,$AG$4),INDEX($A$3:$AD$611,0,$AG$6),"NON-COMPLIED")=1,1,0)))))</f>
        <v>0</v>
      </c>
    </row>
    <row r="612" customFormat="false" ht="15" hidden="false" customHeight="false" outlineLevel="0" collapsed="false">
      <c r="AH612" s="21" t="n">
        <f aca="false">IF($AG$4=0,0,IF($AG$6=0,0,IF(INDEX($A612:$AD612,$AG$4)="",0,IF(INDEX($A612:$AD612,$AG$6)&lt;&gt;"NON-COMPLIED",0,IF(COUNTIFS(INDEX($A$3:$AD$612,0,$AG$4),INDEX($A612:$AD612,$AG$4),INDEX($A$3:$AD$612,0,$AG$6),"NON-COMPLIED")=1,1,0)))))</f>
        <v>0</v>
      </c>
    </row>
    <row r="613" customFormat="false" ht="15" hidden="false" customHeight="false" outlineLevel="0" collapsed="false">
      <c r="AH613" s="21" t="n">
        <f aca="false">IF($AG$4=0,0,IF($AG$6=0,0,IF(INDEX($A613:$AD613,$AG$4)="",0,IF(INDEX($A613:$AD613,$AG$6)&lt;&gt;"NON-COMPLIED",0,IF(COUNTIFS(INDEX($A$3:$AD$613,0,$AG$4),INDEX($A613:$AD613,$AG$4),INDEX($A$3:$AD$613,0,$AG$6),"NON-COMPLIED")=1,1,0)))))</f>
        <v>0</v>
      </c>
    </row>
    <row r="614" customFormat="false" ht="15" hidden="false" customHeight="false" outlineLevel="0" collapsed="false">
      <c r="AH614" s="21" t="n">
        <f aca="false">IF($AG$4=0,0,IF($AG$6=0,0,IF(INDEX($A614:$AD614,$AG$4)="",0,IF(INDEX($A614:$AD614,$AG$6)&lt;&gt;"NON-COMPLIED",0,IF(COUNTIFS(INDEX($A$3:$AD$614,0,$AG$4),INDEX($A614:$AD614,$AG$4),INDEX($A$3:$AD$614,0,$AG$6),"NON-COMPLIED")=1,1,0)))))</f>
        <v>0</v>
      </c>
    </row>
    <row r="615" customFormat="false" ht="15" hidden="false" customHeight="false" outlineLevel="0" collapsed="false">
      <c r="AH615" s="21" t="n">
        <f aca="false">IF($AG$4=0,0,IF($AG$6=0,0,IF(INDEX($A615:$AD615,$AG$4)="",0,IF(INDEX($A615:$AD615,$AG$6)&lt;&gt;"NON-COMPLIED",0,IF(COUNTIFS(INDEX($A$3:$AD$615,0,$AG$4),INDEX($A615:$AD615,$AG$4),INDEX($A$3:$AD$615,0,$AG$6),"NON-COMPLIED")=1,1,0)))))</f>
        <v>0</v>
      </c>
    </row>
    <row r="616" customFormat="false" ht="15" hidden="false" customHeight="false" outlineLevel="0" collapsed="false">
      <c r="AH616" s="21" t="n">
        <f aca="false">IF($AG$4=0,0,IF($AG$6=0,0,IF(INDEX($A616:$AD616,$AG$4)="",0,IF(INDEX($A616:$AD616,$AG$6)&lt;&gt;"NON-COMPLIED",0,IF(COUNTIFS(INDEX($A$3:$AD$616,0,$AG$4),INDEX($A616:$AD616,$AG$4),INDEX($A$3:$AD$616,0,$AG$6),"NON-COMPLIED")=1,1,0)))))</f>
        <v>0</v>
      </c>
    </row>
    <row r="617" customFormat="false" ht="15" hidden="false" customHeight="false" outlineLevel="0" collapsed="false">
      <c r="AH617" s="21" t="n">
        <f aca="false">IF($AG$4=0,0,IF($AG$6=0,0,IF(INDEX($A617:$AD617,$AG$4)="",0,IF(INDEX($A617:$AD617,$AG$6)&lt;&gt;"NON-COMPLIED",0,IF(COUNTIFS(INDEX($A$3:$AD$617,0,$AG$4),INDEX($A617:$AD617,$AG$4),INDEX($A$3:$AD$617,0,$AG$6),"NON-COMPLIED")=1,1,0)))))</f>
        <v>0</v>
      </c>
    </row>
    <row r="618" customFormat="false" ht="15" hidden="false" customHeight="false" outlineLevel="0" collapsed="false">
      <c r="AH618" s="21" t="n">
        <f aca="false">IF($AG$4=0,0,IF($AG$6=0,0,IF(INDEX($A618:$AD618,$AG$4)="",0,IF(INDEX($A618:$AD618,$AG$6)&lt;&gt;"NON-COMPLIED",0,IF(COUNTIFS(INDEX($A$3:$AD$618,0,$AG$4),INDEX($A618:$AD618,$AG$4),INDEX($A$3:$AD$618,0,$AG$6),"NON-COMPLIED")=1,1,0)))))</f>
        <v>0</v>
      </c>
    </row>
    <row r="619" customFormat="false" ht="15" hidden="false" customHeight="false" outlineLevel="0" collapsed="false">
      <c r="AH619" s="21" t="n">
        <f aca="false">IF($AG$4=0,0,IF($AG$6=0,0,IF(INDEX($A619:$AD619,$AG$4)="",0,IF(INDEX($A619:$AD619,$AG$6)&lt;&gt;"NON-COMPLIED",0,IF(COUNTIFS(INDEX($A$3:$AD$619,0,$AG$4),INDEX($A619:$AD619,$AG$4),INDEX($A$3:$AD$619,0,$AG$6),"NON-COMPLIED")=1,1,0)))))</f>
        <v>0</v>
      </c>
    </row>
    <row r="620" customFormat="false" ht="15" hidden="false" customHeight="false" outlineLevel="0" collapsed="false">
      <c r="AH620" s="21" t="n">
        <f aca="false">IF($AG$4=0,0,IF($AG$6=0,0,IF(INDEX($A620:$AD620,$AG$4)="",0,IF(INDEX($A620:$AD620,$AG$6)&lt;&gt;"NON-COMPLIED",0,IF(COUNTIFS(INDEX($A$3:$AD$620,0,$AG$4),INDEX($A620:$AD620,$AG$4),INDEX($A$3:$AD$620,0,$AG$6),"NON-COMPLIED")=1,1,0)))))</f>
        <v>0</v>
      </c>
    </row>
    <row r="621" customFormat="false" ht="15" hidden="false" customHeight="false" outlineLevel="0" collapsed="false">
      <c r="AH621" s="21" t="n">
        <f aca="false">IF($AG$4=0,0,IF($AG$6=0,0,IF(INDEX($A621:$AD621,$AG$4)="",0,IF(INDEX($A621:$AD621,$AG$6)&lt;&gt;"NON-COMPLIED",0,IF(COUNTIFS(INDEX($A$3:$AD$621,0,$AG$4),INDEX($A621:$AD621,$AG$4),INDEX($A$3:$AD$621,0,$AG$6),"NON-COMPLIED")=1,1,0)))))</f>
        <v>0</v>
      </c>
    </row>
    <row r="622" customFormat="false" ht="15" hidden="false" customHeight="false" outlineLevel="0" collapsed="false">
      <c r="AH622" s="21" t="n">
        <f aca="false">IF($AG$4=0,0,IF($AG$6=0,0,IF(INDEX($A622:$AD622,$AG$4)="",0,IF(INDEX($A622:$AD622,$AG$6)&lt;&gt;"NON-COMPLIED",0,IF(COUNTIFS(INDEX($A$3:$AD$622,0,$AG$4),INDEX($A622:$AD622,$AG$4),INDEX($A$3:$AD$622,0,$AG$6),"NON-COMPLIED")=1,1,0)))))</f>
        <v>0</v>
      </c>
    </row>
    <row r="623" customFormat="false" ht="15" hidden="false" customHeight="false" outlineLevel="0" collapsed="false">
      <c r="AH623" s="21" t="n">
        <f aca="false">IF($AG$4=0,0,IF($AG$6=0,0,IF(INDEX($A623:$AD623,$AG$4)="",0,IF(INDEX($A623:$AD623,$AG$6)&lt;&gt;"NON-COMPLIED",0,IF(COUNTIFS(INDEX($A$3:$AD$623,0,$AG$4),INDEX($A623:$AD623,$AG$4),INDEX($A$3:$AD$623,0,$AG$6),"NON-COMPLIED")=1,1,0)))))</f>
        <v>0</v>
      </c>
    </row>
    <row r="624" customFormat="false" ht="15" hidden="false" customHeight="false" outlineLevel="0" collapsed="false">
      <c r="AH624" s="21" t="n">
        <f aca="false">IF($AG$4=0,0,IF($AG$6=0,0,IF(INDEX($A624:$AD624,$AG$4)="",0,IF(INDEX($A624:$AD624,$AG$6)&lt;&gt;"NON-COMPLIED",0,IF(COUNTIFS(INDEX($A$3:$AD$624,0,$AG$4),INDEX($A624:$AD624,$AG$4),INDEX($A$3:$AD$624,0,$AG$6),"NON-COMPLIED")=1,1,0)))))</f>
        <v>0</v>
      </c>
    </row>
    <row r="625" customFormat="false" ht="15" hidden="false" customHeight="false" outlineLevel="0" collapsed="false">
      <c r="AH625" s="21" t="n">
        <f aca="false">IF($AG$4=0,0,IF($AG$6=0,0,IF(INDEX($A625:$AD625,$AG$4)="",0,IF(INDEX($A625:$AD625,$AG$6)&lt;&gt;"NON-COMPLIED",0,IF(COUNTIFS(INDEX($A$3:$AD$625,0,$AG$4),INDEX($A625:$AD625,$AG$4),INDEX($A$3:$AD$625,0,$AG$6),"NON-COMPLIED")=1,1,0)))))</f>
        <v>0</v>
      </c>
    </row>
    <row r="626" customFormat="false" ht="15" hidden="false" customHeight="false" outlineLevel="0" collapsed="false">
      <c r="AH626" s="21" t="n">
        <f aca="false">IF($AG$4=0,0,IF($AG$6=0,0,IF(INDEX($A626:$AD626,$AG$4)="",0,IF(INDEX($A626:$AD626,$AG$6)&lt;&gt;"NON-COMPLIED",0,IF(COUNTIFS(INDEX($A$3:$AD$626,0,$AG$4),INDEX($A626:$AD626,$AG$4),INDEX($A$3:$AD$626,0,$AG$6),"NON-COMPLIED")=1,1,0)))))</f>
        <v>0</v>
      </c>
    </row>
    <row r="627" customFormat="false" ht="15" hidden="false" customHeight="false" outlineLevel="0" collapsed="false">
      <c r="AH627" s="21" t="n">
        <f aca="false">IF($AG$4=0,0,IF($AG$6=0,0,IF(INDEX($A627:$AD627,$AG$4)="",0,IF(INDEX($A627:$AD627,$AG$6)&lt;&gt;"NON-COMPLIED",0,IF(COUNTIFS(INDEX($A$3:$AD$627,0,$AG$4),INDEX($A627:$AD627,$AG$4),INDEX($A$3:$AD$627,0,$AG$6),"NON-COMPLIED")=1,1,0)))))</f>
        <v>0</v>
      </c>
    </row>
    <row r="628" customFormat="false" ht="15" hidden="false" customHeight="false" outlineLevel="0" collapsed="false">
      <c r="AH628" s="21" t="n">
        <f aca="false">IF($AG$4=0,0,IF($AG$6=0,0,IF(INDEX($A628:$AD628,$AG$4)="",0,IF(INDEX($A628:$AD628,$AG$6)&lt;&gt;"NON-COMPLIED",0,IF(COUNTIFS(INDEX($A$3:$AD$628,0,$AG$4),INDEX($A628:$AD628,$AG$4),INDEX($A$3:$AD$628,0,$AG$6),"NON-COMPLIED")=1,1,0)))))</f>
        <v>0</v>
      </c>
    </row>
    <row r="629" customFormat="false" ht="15" hidden="false" customHeight="false" outlineLevel="0" collapsed="false">
      <c r="AH629" s="21" t="n">
        <f aca="false">IF($AG$4=0,0,IF($AG$6=0,0,IF(INDEX($A629:$AD629,$AG$4)="",0,IF(INDEX($A629:$AD629,$AG$6)&lt;&gt;"NON-COMPLIED",0,IF(COUNTIFS(INDEX($A$3:$AD$629,0,$AG$4),INDEX($A629:$AD629,$AG$4),INDEX($A$3:$AD$629,0,$AG$6),"NON-COMPLIED")=1,1,0)))))</f>
        <v>0</v>
      </c>
    </row>
    <row r="630" customFormat="false" ht="15" hidden="false" customHeight="false" outlineLevel="0" collapsed="false">
      <c r="AH630" s="21" t="n">
        <f aca="false">IF($AG$4=0,0,IF($AG$6=0,0,IF(INDEX($A630:$AD630,$AG$4)="",0,IF(INDEX($A630:$AD630,$AG$6)&lt;&gt;"NON-COMPLIED",0,IF(COUNTIFS(INDEX($A$3:$AD$630,0,$AG$4),INDEX($A630:$AD630,$AG$4),INDEX($A$3:$AD$630,0,$AG$6),"NON-COMPLIED")=1,1,0)))))</f>
        <v>0</v>
      </c>
    </row>
    <row r="631" customFormat="false" ht="15" hidden="false" customHeight="false" outlineLevel="0" collapsed="false">
      <c r="AH631" s="21" t="n">
        <f aca="false">IF($AG$4=0,0,IF($AG$6=0,0,IF(INDEX($A631:$AD631,$AG$4)="",0,IF(INDEX($A631:$AD631,$AG$6)&lt;&gt;"NON-COMPLIED",0,IF(COUNTIFS(INDEX($A$3:$AD$631,0,$AG$4),INDEX($A631:$AD631,$AG$4),INDEX($A$3:$AD$631,0,$AG$6),"NON-COMPLIED")=1,1,0)))))</f>
        <v>0</v>
      </c>
    </row>
    <row r="632" customFormat="false" ht="15" hidden="false" customHeight="false" outlineLevel="0" collapsed="false">
      <c r="AH632" s="21" t="n">
        <f aca="false">IF($AG$4=0,0,IF($AG$6=0,0,IF(INDEX($A632:$AD632,$AG$4)="",0,IF(INDEX($A632:$AD632,$AG$6)&lt;&gt;"NON-COMPLIED",0,IF(COUNTIFS(INDEX($A$3:$AD$632,0,$AG$4),INDEX($A632:$AD632,$AG$4),INDEX($A$3:$AD$632,0,$AG$6),"NON-COMPLIED")=1,1,0)))))</f>
        <v>0</v>
      </c>
    </row>
    <row r="633" customFormat="false" ht="15" hidden="false" customHeight="false" outlineLevel="0" collapsed="false">
      <c r="AH633" s="21" t="n">
        <f aca="false">IF($AG$4=0,0,IF($AG$6=0,0,IF(INDEX($A633:$AD633,$AG$4)="",0,IF(INDEX($A633:$AD633,$AG$6)&lt;&gt;"NON-COMPLIED",0,IF(COUNTIFS(INDEX($A$3:$AD$633,0,$AG$4),INDEX($A633:$AD633,$AG$4),INDEX($A$3:$AD$633,0,$AG$6),"NON-COMPLIED")=1,1,0)))))</f>
        <v>0</v>
      </c>
    </row>
    <row r="634" customFormat="false" ht="15" hidden="false" customHeight="false" outlineLevel="0" collapsed="false">
      <c r="AH634" s="21" t="n">
        <f aca="false">IF($AG$4=0,0,IF($AG$6=0,0,IF(INDEX($A634:$AD634,$AG$4)="",0,IF(INDEX($A634:$AD634,$AG$6)&lt;&gt;"NON-COMPLIED",0,IF(COUNTIFS(INDEX($A$3:$AD$634,0,$AG$4),INDEX($A634:$AD634,$AG$4),INDEX($A$3:$AD$634,0,$AG$6),"NON-COMPLIED")=1,1,0)))))</f>
        <v>0</v>
      </c>
    </row>
    <row r="635" customFormat="false" ht="15" hidden="false" customHeight="false" outlineLevel="0" collapsed="false">
      <c r="AH635" s="21" t="n">
        <f aca="false">IF($AG$4=0,0,IF($AG$6=0,0,IF(INDEX($A635:$AD635,$AG$4)="",0,IF(INDEX($A635:$AD635,$AG$6)&lt;&gt;"NON-COMPLIED",0,IF(COUNTIFS(INDEX($A$3:$AD$635,0,$AG$4),INDEX($A635:$AD635,$AG$4),INDEX($A$3:$AD$635,0,$AG$6),"NON-COMPLIED")=1,1,0)))))</f>
        <v>0</v>
      </c>
    </row>
    <row r="636" customFormat="false" ht="15" hidden="false" customHeight="false" outlineLevel="0" collapsed="false">
      <c r="AH636" s="21" t="n">
        <f aca="false">IF($AG$4=0,0,IF($AG$6=0,0,IF(INDEX($A636:$AD636,$AG$4)="",0,IF(INDEX($A636:$AD636,$AG$6)&lt;&gt;"NON-COMPLIED",0,IF(COUNTIFS(INDEX($A$3:$AD$636,0,$AG$4),INDEX($A636:$AD636,$AG$4),INDEX($A$3:$AD$636,0,$AG$6),"NON-COMPLIED")=1,1,0)))))</f>
        <v>0</v>
      </c>
    </row>
    <row r="637" customFormat="false" ht="15" hidden="false" customHeight="false" outlineLevel="0" collapsed="false">
      <c r="AH637" s="21" t="n">
        <f aca="false">IF($AG$4=0,0,IF($AG$6=0,0,IF(INDEX($A637:$AD637,$AG$4)="",0,IF(INDEX($A637:$AD637,$AG$6)&lt;&gt;"NON-COMPLIED",0,IF(COUNTIFS(INDEX($A$3:$AD$637,0,$AG$4),INDEX($A637:$AD637,$AG$4),INDEX($A$3:$AD$637,0,$AG$6),"NON-COMPLIED")=1,1,0)))))</f>
        <v>0</v>
      </c>
    </row>
    <row r="638" customFormat="false" ht="15" hidden="false" customHeight="false" outlineLevel="0" collapsed="false">
      <c r="AH638" s="21" t="n">
        <f aca="false">IF($AG$4=0,0,IF($AG$6=0,0,IF(INDEX($A638:$AD638,$AG$4)="",0,IF(INDEX($A638:$AD638,$AG$6)&lt;&gt;"NON-COMPLIED",0,IF(COUNTIFS(INDEX($A$3:$AD$638,0,$AG$4),INDEX($A638:$AD638,$AG$4),INDEX($A$3:$AD$638,0,$AG$6),"NON-COMPLIED")=1,1,0)))))</f>
        <v>0</v>
      </c>
    </row>
    <row r="639" customFormat="false" ht="15" hidden="false" customHeight="false" outlineLevel="0" collapsed="false">
      <c r="AH639" s="21" t="n">
        <f aca="false">IF($AG$4=0,0,IF($AG$6=0,0,IF(INDEX($A639:$AD639,$AG$4)="",0,IF(INDEX($A639:$AD639,$AG$6)&lt;&gt;"NON-COMPLIED",0,IF(COUNTIFS(INDEX($A$3:$AD$639,0,$AG$4),INDEX($A639:$AD639,$AG$4),INDEX($A$3:$AD$639,0,$AG$6),"NON-COMPLIED")=1,1,0)))))</f>
        <v>0</v>
      </c>
    </row>
    <row r="640" customFormat="false" ht="15" hidden="false" customHeight="false" outlineLevel="0" collapsed="false">
      <c r="AH640" s="21" t="n">
        <f aca="false">IF($AG$4=0,0,IF($AG$6=0,0,IF(INDEX($A640:$AD640,$AG$4)="",0,IF(INDEX($A640:$AD640,$AG$6)&lt;&gt;"NON-COMPLIED",0,IF(COUNTIFS(INDEX($A$3:$AD$640,0,$AG$4),INDEX($A640:$AD640,$AG$4),INDEX($A$3:$AD$640,0,$AG$6),"NON-COMPLIED")=1,1,0)))))</f>
        <v>0</v>
      </c>
    </row>
    <row r="641" customFormat="false" ht="15" hidden="false" customHeight="false" outlineLevel="0" collapsed="false">
      <c r="AH641" s="21" t="n">
        <f aca="false">IF($AG$4=0,0,IF($AG$6=0,0,IF(INDEX($A641:$AD641,$AG$4)="",0,IF(INDEX($A641:$AD641,$AG$6)&lt;&gt;"NON-COMPLIED",0,IF(COUNTIFS(INDEX($A$3:$AD$641,0,$AG$4),INDEX($A641:$AD641,$AG$4),INDEX($A$3:$AD$641,0,$AG$6),"NON-COMPLIED")=1,1,0)))))</f>
        <v>0</v>
      </c>
    </row>
    <row r="642" customFormat="false" ht="15" hidden="false" customHeight="false" outlineLevel="0" collapsed="false">
      <c r="AH642" s="21" t="n">
        <f aca="false">IF($AG$4=0,0,IF($AG$6=0,0,IF(INDEX($A642:$AD642,$AG$4)="",0,IF(INDEX($A642:$AD642,$AG$6)&lt;&gt;"NON-COMPLIED",0,IF(COUNTIFS(INDEX($A$3:$AD$642,0,$AG$4),INDEX($A642:$AD642,$AG$4),INDEX($A$3:$AD$642,0,$AG$6),"NON-COMPLIED")=1,1,0)))))</f>
        <v>0</v>
      </c>
    </row>
    <row r="643" customFormat="false" ht="15" hidden="false" customHeight="false" outlineLevel="0" collapsed="false">
      <c r="AH643" s="21" t="n">
        <f aca="false">IF($AG$4=0,0,IF($AG$6=0,0,IF(INDEX($A643:$AD643,$AG$4)="",0,IF(INDEX($A643:$AD643,$AG$6)&lt;&gt;"NON-COMPLIED",0,IF(COUNTIFS(INDEX($A$3:$AD$643,0,$AG$4),INDEX($A643:$AD643,$AG$4),INDEX($A$3:$AD$643,0,$AG$6),"NON-COMPLIED")=1,1,0)))))</f>
        <v>0</v>
      </c>
    </row>
    <row r="644" customFormat="false" ht="15" hidden="false" customHeight="false" outlineLevel="0" collapsed="false">
      <c r="AH644" s="21" t="n">
        <f aca="false">IF($AG$4=0,0,IF($AG$6=0,0,IF(INDEX($A644:$AD644,$AG$4)="",0,IF(INDEX($A644:$AD644,$AG$6)&lt;&gt;"NON-COMPLIED",0,IF(COUNTIFS(INDEX($A$3:$AD$644,0,$AG$4),INDEX($A644:$AD644,$AG$4),INDEX($A$3:$AD$644,0,$AG$6),"NON-COMPLIED")=1,1,0)))))</f>
        <v>0</v>
      </c>
    </row>
    <row r="645" customFormat="false" ht="15" hidden="false" customHeight="false" outlineLevel="0" collapsed="false">
      <c r="AH645" s="21" t="n">
        <f aca="false">IF($AG$4=0,0,IF($AG$6=0,0,IF(INDEX($A645:$AD645,$AG$4)="",0,IF(INDEX($A645:$AD645,$AG$6)&lt;&gt;"NON-COMPLIED",0,IF(COUNTIFS(INDEX($A$3:$AD$645,0,$AG$4),INDEX($A645:$AD645,$AG$4),INDEX($A$3:$AD$645,0,$AG$6),"NON-COMPLIED")=1,1,0)))))</f>
        <v>0</v>
      </c>
    </row>
    <row r="646" customFormat="false" ht="15" hidden="false" customHeight="false" outlineLevel="0" collapsed="false">
      <c r="AH646" s="21" t="n">
        <f aca="false">IF($AG$4=0,0,IF($AG$6=0,0,IF(INDEX($A646:$AD646,$AG$4)="",0,IF(INDEX($A646:$AD646,$AG$6)&lt;&gt;"NON-COMPLIED",0,IF(COUNTIFS(INDEX($A$3:$AD$646,0,$AG$4),INDEX($A646:$AD646,$AG$4),INDEX($A$3:$AD$646,0,$AG$6),"NON-COMPLIED")=1,1,0)))))</f>
        <v>0</v>
      </c>
    </row>
    <row r="647" customFormat="false" ht="15" hidden="false" customHeight="false" outlineLevel="0" collapsed="false">
      <c r="AH647" s="21" t="n">
        <f aca="false">IF($AG$4=0,0,IF($AG$6=0,0,IF(INDEX($A647:$AD647,$AG$4)="",0,IF(INDEX($A647:$AD647,$AG$6)&lt;&gt;"NON-COMPLIED",0,IF(COUNTIFS(INDEX($A$3:$AD$647,0,$AG$4),INDEX($A647:$AD647,$AG$4),INDEX($A$3:$AD$647,0,$AG$6),"NON-COMPLIED")=1,1,0)))))</f>
        <v>0</v>
      </c>
    </row>
    <row r="648" customFormat="false" ht="15" hidden="false" customHeight="false" outlineLevel="0" collapsed="false">
      <c r="AH648" s="21" t="n">
        <f aca="false">IF($AG$4=0,0,IF($AG$6=0,0,IF(INDEX($A648:$AD648,$AG$4)="",0,IF(INDEX($A648:$AD648,$AG$6)&lt;&gt;"NON-COMPLIED",0,IF(COUNTIFS(INDEX($A$3:$AD$648,0,$AG$4),INDEX($A648:$AD648,$AG$4),INDEX($A$3:$AD$648,0,$AG$6),"NON-COMPLIED")=1,1,0)))))</f>
        <v>0</v>
      </c>
    </row>
    <row r="649" customFormat="false" ht="15" hidden="false" customHeight="false" outlineLevel="0" collapsed="false">
      <c r="AH649" s="21" t="n">
        <f aca="false">IF($AG$4=0,0,IF($AG$6=0,0,IF(INDEX($A649:$AD649,$AG$4)="",0,IF(INDEX($A649:$AD649,$AG$6)&lt;&gt;"NON-COMPLIED",0,IF(COUNTIFS(INDEX($A$3:$AD$649,0,$AG$4),INDEX($A649:$AD649,$AG$4),INDEX($A$3:$AD$649,0,$AG$6),"NON-COMPLIED")=1,1,0)))))</f>
        <v>0</v>
      </c>
    </row>
    <row r="650" customFormat="false" ht="15" hidden="false" customHeight="false" outlineLevel="0" collapsed="false">
      <c r="AH650" s="21" t="n">
        <f aca="false">IF($AG$4=0,0,IF($AG$6=0,0,IF(INDEX($A650:$AD650,$AG$4)="",0,IF(INDEX($A650:$AD650,$AG$6)&lt;&gt;"NON-COMPLIED",0,IF(COUNTIFS(INDEX($A$3:$AD$650,0,$AG$4),INDEX($A650:$AD650,$AG$4),INDEX($A$3:$AD$650,0,$AG$6),"NON-COMPLIED")=1,1,0)))))</f>
        <v>0</v>
      </c>
    </row>
    <row r="651" customFormat="false" ht="15" hidden="false" customHeight="false" outlineLevel="0" collapsed="false">
      <c r="AH651" s="21" t="n">
        <f aca="false">IF($AG$4=0,0,IF($AG$6=0,0,IF(INDEX($A651:$AD651,$AG$4)="",0,IF(INDEX($A651:$AD651,$AG$6)&lt;&gt;"NON-COMPLIED",0,IF(COUNTIFS(INDEX($A$3:$AD$651,0,$AG$4),INDEX($A651:$AD651,$AG$4),INDEX($A$3:$AD$651,0,$AG$6),"NON-COMPLIED")=1,1,0)))))</f>
        <v>0</v>
      </c>
    </row>
    <row r="652" customFormat="false" ht="15" hidden="false" customHeight="false" outlineLevel="0" collapsed="false">
      <c r="AH652" s="21" t="n">
        <f aca="false">IF($AG$4=0,0,IF($AG$6=0,0,IF(INDEX($A652:$AD652,$AG$4)="",0,IF(INDEX($A652:$AD652,$AG$6)&lt;&gt;"NON-COMPLIED",0,IF(COUNTIFS(INDEX($A$3:$AD$652,0,$AG$4),INDEX($A652:$AD652,$AG$4),INDEX($A$3:$AD$652,0,$AG$6),"NON-COMPLIED")=1,1,0)))))</f>
        <v>0</v>
      </c>
    </row>
    <row r="653" customFormat="false" ht="15" hidden="false" customHeight="false" outlineLevel="0" collapsed="false">
      <c r="AH653" s="21" t="n">
        <f aca="false">IF($AG$4=0,0,IF($AG$6=0,0,IF(INDEX($A653:$AD653,$AG$4)="",0,IF(INDEX($A653:$AD653,$AG$6)&lt;&gt;"NON-COMPLIED",0,IF(COUNTIFS(INDEX($A$3:$AD$653,0,$AG$4),INDEX($A653:$AD653,$AG$4),INDEX($A$3:$AD$653,0,$AG$6),"NON-COMPLIED")=1,1,0)))))</f>
        <v>0</v>
      </c>
    </row>
    <row r="654" customFormat="false" ht="15" hidden="false" customHeight="false" outlineLevel="0" collapsed="false">
      <c r="AH654" s="21" t="n">
        <f aca="false">IF($AG$4=0,0,IF($AG$6=0,0,IF(INDEX($A654:$AD654,$AG$4)="",0,IF(INDEX($A654:$AD654,$AG$6)&lt;&gt;"NON-COMPLIED",0,IF(COUNTIFS(INDEX($A$3:$AD$654,0,$AG$4),INDEX($A654:$AD654,$AG$4),INDEX($A$3:$AD$654,0,$AG$6),"NON-COMPLIED")=1,1,0)))))</f>
        <v>0</v>
      </c>
    </row>
    <row r="655" customFormat="false" ht="15" hidden="false" customHeight="false" outlineLevel="0" collapsed="false">
      <c r="AH655" s="21" t="n">
        <f aca="false">IF($AG$4=0,0,IF($AG$6=0,0,IF(INDEX($A655:$AD655,$AG$4)="",0,IF(INDEX($A655:$AD655,$AG$6)&lt;&gt;"NON-COMPLIED",0,IF(COUNTIFS(INDEX($A$3:$AD$655,0,$AG$4),INDEX($A655:$AD655,$AG$4),INDEX($A$3:$AD$655,0,$AG$6),"NON-COMPLIED")=1,1,0)))))</f>
        <v>0</v>
      </c>
    </row>
    <row r="656" customFormat="false" ht="15" hidden="false" customHeight="false" outlineLevel="0" collapsed="false">
      <c r="AH656" s="21" t="n">
        <f aca="false">IF($AG$4=0,0,IF($AG$6=0,0,IF(INDEX($A656:$AD656,$AG$4)="",0,IF(INDEX($A656:$AD656,$AG$6)&lt;&gt;"NON-COMPLIED",0,IF(COUNTIFS(INDEX($A$3:$AD$656,0,$AG$4),INDEX($A656:$AD656,$AG$4),INDEX($A$3:$AD$656,0,$AG$6),"NON-COMPLIED")=1,1,0)))))</f>
        <v>0</v>
      </c>
    </row>
    <row r="657" customFormat="false" ht="15" hidden="false" customHeight="false" outlineLevel="0" collapsed="false">
      <c r="AH657" s="21" t="n">
        <f aca="false">IF($AG$4=0,0,IF($AG$6=0,0,IF(INDEX($A657:$AD657,$AG$4)="",0,IF(INDEX($A657:$AD657,$AG$6)&lt;&gt;"NON-COMPLIED",0,IF(COUNTIFS(INDEX($A$3:$AD$657,0,$AG$4),INDEX($A657:$AD657,$AG$4),INDEX($A$3:$AD$657,0,$AG$6),"NON-COMPLIED")=1,1,0)))))</f>
        <v>0</v>
      </c>
    </row>
    <row r="658" customFormat="false" ht="15" hidden="false" customHeight="false" outlineLevel="0" collapsed="false">
      <c r="AH658" s="21" t="n">
        <f aca="false">IF($AG$4=0,0,IF($AG$6=0,0,IF(INDEX($A658:$AD658,$AG$4)="",0,IF(INDEX($A658:$AD658,$AG$6)&lt;&gt;"NON-COMPLIED",0,IF(COUNTIFS(INDEX($A$3:$AD$658,0,$AG$4),INDEX($A658:$AD658,$AG$4),INDEX($A$3:$AD$658,0,$AG$6),"NON-COMPLIED")=1,1,0)))))</f>
        <v>0</v>
      </c>
    </row>
    <row r="659" customFormat="false" ht="15" hidden="false" customHeight="false" outlineLevel="0" collapsed="false">
      <c r="AH659" s="21" t="n">
        <f aca="false">IF($AG$4=0,0,IF($AG$6=0,0,IF(INDEX($A659:$AD659,$AG$4)="",0,IF(INDEX($A659:$AD659,$AG$6)&lt;&gt;"NON-COMPLIED",0,IF(COUNTIFS(INDEX($A$3:$AD$659,0,$AG$4),INDEX($A659:$AD659,$AG$4),INDEX($A$3:$AD$659,0,$AG$6),"NON-COMPLIED")=1,1,0)))))</f>
        <v>0</v>
      </c>
    </row>
    <row r="660" customFormat="false" ht="15" hidden="false" customHeight="false" outlineLevel="0" collapsed="false">
      <c r="AH660" s="21" t="n">
        <f aca="false">IF($AG$4=0,0,IF($AG$6=0,0,IF(INDEX($A660:$AD660,$AG$4)="",0,IF(INDEX($A660:$AD660,$AG$6)&lt;&gt;"NON-COMPLIED",0,IF(COUNTIFS(INDEX($A$3:$AD$660,0,$AG$4),INDEX($A660:$AD660,$AG$4),INDEX($A$3:$AD$660,0,$AG$6),"NON-COMPLIED")=1,1,0)))))</f>
        <v>0</v>
      </c>
    </row>
    <row r="661" customFormat="false" ht="15" hidden="false" customHeight="false" outlineLevel="0" collapsed="false">
      <c r="AH661" s="21" t="n">
        <f aca="false">IF($AG$4=0,0,IF($AG$6=0,0,IF(INDEX($A661:$AD661,$AG$4)="",0,IF(INDEX($A661:$AD661,$AG$6)&lt;&gt;"NON-COMPLIED",0,IF(COUNTIFS(INDEX($A$3:$AD$661,0,$AG$4),INDEX($A661:$AD661,$AG$4),INDEX($A$3:$AD$661,0,$AG$6),"NON-COMPLIED")=1,1,0)))))</f>
        <v>0</v>
      </c>
    </row>
    <row r="662" customFormat="false" ht="15" hidden="false" customHeight="false" outlineLevel="0" collapsed="false">
      <c r="AH662" s="21" t="n">
        <f aca="false">IF($AG$4=0,0,IF($AG$6=0,0,IF(INDEX($A662:$AD662,$AG$4)="",0,IF(INDEX($A662:$AD662,$AG$6)&lt;&gt;"NON-COMPLIED",0,IF(COUNTIFS(INDEX($A$3:$AD$662,0,$AG$4),INDEX($A662:$AD662,$AG$4),INDEX($A$3:$AD$662,0,$AG$6),"NON-COMPLIED")=1,1,0)))))</f>
        <v>0</v>
      </c>
    </row>
    <row r="663" customFormat="false" ht="15" hidden="false" customHeight="false" outlineLevel="0" collapsed="false">
      <c r="AH663" s="21" t="n">
        <f aca="false">IF($AG$4=0,0,IF($AG$6=0,0,IF(INDEX($A663:$AD663,$AG$4)="",0,IF(INDEX($A663:$AD663,$AG$6)&lt;&gt;"NON-COMPLIED",0,IF(COUNTIFS(INDEX($A$3:$AD$663,0,$AG$4),INDEX($A663:$AD663,$AG$4),INDEX($A$3:$AD$663,0,$AG$6),"NON-COMPLIED")=1,1,0)))))</f>
        <v>0</v>
      </c>
    </row>
    <row r="664" customFormat="false" ht="15" hidden="false" customHeight="false" outlineLevel="0" collapsed="false">
      <c r="AH664" s="21" t="n">
        <f aca="false">IF($AG$4=0,0,IF($AG$6=0,0,IF(INDEX($A664:$AD664,$AG$4)="",0,IF(INDEX($A664:$AD664,$AG$6)&lt;&gt;"NON-COMPLIED",0,IF(COUNTIFS(INDEX($A$3:$AD$664,0,$AG$4),INDEX($A664:$AD664,$AG$4),INDEX($A$3:$AD$664,0,$AG$6),"NON-COMPLIED")=1,1,0)))))</f>
        <v>0</v>
      </c>
    </row>
    <row r="665" customFormat="false" ht="15" hidden="false" customHeight="false" outlineLevel="0" collapsed="false">
      <c r="AH665" s="21" t="n">
        <f aca="false">IF($AG$4=0,0,IF($AG$6=0,0,IF(INDEX($A665:$AD665,$AG$4)="",0,IF(INDEX($A665:$AD665,$AG$6)&lt;&gt;"NON-COMPLIED",0,IF(COUNTIFS(INDEX($A$3:$AD$665,0,$AG$4),INDEX($A665:$AD665,$AG$4),INDEX($A$3:$AD$665,0,$AG$6),"NON-COMPLIED")=1,1,0)))))</f>
        <v>0</v>
      </c>
    </row>
    <row r="666" customFormat="false" ht="15" hidden="false" customHeight="false" outlineLevel="0" collapsed="false">
      <c r="AH666" s="21" t="n">
        <f aca="false">IF($AG$4=0,0,IF($AG$6=0,0,IF(INDEX($A666:$AD666,$AG$4)="",0,IF(INDEX($A666:$AD666,$AG$6)&lt;&gt;"NON-COMPLIED",0,IF(COUNTIFS(INDEX($A$3:$AD$666,0,$AG$4),INDEX($A666:$AD666,$AG$4),INDEX($A$3:$AD$666,0,$AG$6),"NON-COMPLIED")=1,1,0)))))</f>
        <v>0</v>
      </c>
    </row>
    <row r="667" customFormat="false" ht="15" hidden="false" customHeight="false" outlineLevel="0" collapsed="false">
      <c r="AH667" s="21" t="n">
        <f aca="false">IF($AG$4=0,0,IF($AG$6=0,0,IF(INDEX($A667:$AD667,$AG$4)="",0,IF(INDEX($A667:$AD667,$AG$6)&lt;&gt;"NON-COMPLIED",0,IF(COUNTIFS(INDEX($A$3:$AD$667,0,$AG$4),INDEX($A667:$AD667,$AG$4),INDEX($A$3:$AD$667,0,$AG$6),"NON-COMPLIED")=1,1,0)))))</f>
        <v>0</v>
      </c>
    </row>
    <row r="668" customFormat="false" ht="15" hidden="false" customHeight="false" outlineLevel="0" collapsed="false">
      <c r="AH668" s="21" t="n">
        <f aca="false">IF($AG$4=0,0,IF($AG$6=0,0,IF(INDEX($A668:$AD668,$AG$4)="",0,IF(INDEX($A668:$AD668,$AG$6)&lt;&gt;"NON-COMPLIED",0,IF(COUNTIFS(INDEX($A$3:$AD$668,0,$AG$4),INDEX($A668:$AD668,$AG$4),INDEX($A$3:$AD$668,0,$AG$6),"NON-COMPLIED")=1,1,0)))))</f>
        <v>0</v>
      </c>
    </row>
    <row r="669" customFormat="false" ht="15" hidden="false" customHeight="false" outlineLevel="0" collapsed="false">
      <c r="AH669" s="21" t="n">
        <f aca="false">IF($AG$4=0,0,IF($AG$6=0,0,IF(INDEX($A669:$AD669,$AG$4)="",0,IF(INDEX($A669:$AD669,$AG$6)&lt;&gt;"NON-COMPLIED",0,IF(COUNTIFS(INDEX($A$3:$AD$669,0,$AG$4),INDEX($A669:$AD669,$AG$4),INDEX($A$3:$AD$669,0,$AG$6),"NON-COMPLIED")=1,1,0)))))</f>
        <v>0</v>
      </c>
    </row>
    <row r="670" customFormat="false" ht="15" hidden="false" customHeight="false" outlineLevel="0" collapsed="false">
      <c r="AH670" s="21" t="n">
        <f aca="false">IF($AG$4=0,0,IF($AG$6=0,0,IF(INDEX($A670:$AD670,$AG$4)="",0,IF(INDEX($A670:$AD670,$AG$6)&lt;&gt;"NON-COMPLIED",0,IF(COUNTIFS(INDEX($A$3:$AD$670,0,$AG$4),INDEX($A670:$AD670,$AG$4),INDEX($A$3:$AD$670,0,$AG$6),"NON-COMPLIED")=1,1,0)))))</f>
        <v>0</v>
      </c>
    </row>
    <row r="671" customFormat="false" ht="15" hidden="false" customHeight="false" outlineLevel="0" collapsed="false">
      <c r="AH671" s="21" t="n">
        <f aca="false">IF($AG$4=0,0,IF($AG$6=0,0,IF(INDEX($A671:$AD671,$AG$4)="",0,IF(INDEX($A671:$AD671,$AG$6)&lt;&gt;"NON-COMPLIED",0,IF(COUNTIFS(INDEX($A$3:$AD$671,0,$AG$4),INDEX($A671:$AD671,$AG$4),INDEX($A$3:$AD$671,0,$AG$6),"NON-COMPLIED")=1,1,0)))))</f>
        <v>0</v>
      </c>
    </row>
    <row r="672" customFormat="false" ht="15" hidden="false" customHeight="false" outlineLevel="0" collapsed="false">
      <c r="AH672" s="21" t="n">
        <f aca="false">IF($AG$4=0,0,IF($AG$6=0,0,IF(INDEX($A672:$AD672,$AG$4)="",0,IF(INDEX($A672:$AD672,$AG$6)&lt;&gt;"NON-COMPLIED",0,IF(COUNTIFS(INDEX($A$3:$AD$672,0,$AG$4),INDEX($A672:$AD672,$AG$4),INDEX($A$3:$AD$672,0,$AG$6),"NON-COMPLIED")=1,1,0)))))</f>
        <v>0</v>
      </c>
    </row>
    <row r="673" customFormat="false" ht="15" hidden="false" customHeight="false" outlineLevel="0" collapsed="false">
      <c r="AH673" s="21" t="n">
        <f aca="false">IF($AG$4=0,0,IF($AG$6=0,0,IF(INDEX($A673:$AD673,$AG$4)="",0,IF(INDEX($A673:$AD673,$AG$6)&lt;&gt;"NON-COMPLIED",0,IF(COUNTIFS(INDEX($A$3:$AD$673,0,$AG$4),INDEX($A673:$AD673,$AG$4),INDEX($A$3:$AD$673,0,$AG$6),"NON-COMPLIED")=1,1,0)))))</f>
        <v>0</v>
      </c>
    </row>
    <row r="674" customFormat="false" ht="15" hidden="false" customHeight="false" outlineLevel="0" collapsed="false">
      <c r="AH674" s="21" t="n">
        <f aca="false">IF($AG$4=0,0,IF($AG$6=0,0,IF(INDEX($A674:$AD674,$AG$4)="",0,IF(INDEX($A674:$AD674,$AG$6)&lt;&gt;"NON-COMPLIED",0,IF(COUNTIFS(INDEX($A$3:$AD$674,0,$AG$4),INDEX($A674:$AD674,$AG$4),INDEX($A$3:$AD$674,0,$AG$6),"NON-COMPLIED")=1,1,0)))))</f>
        <v>0</v>
      </c>
    </row>
    <row r="675" customFormat="false" ht="15" hidden="false" customHeight="false" outlineLevel="0" collapsed="false">
      <c r="AH675" s="21" t="n">
        <f aca="false">IF($AG$4=0,0,IF($AG$6=0,0,IF(INDEX($A675:$AD675,$AG$4)="",0,IF(INDEX($A675:$AD675,$AG$6)&lt;&gt;"NON-COMPLIED",0,IF(COUNTIFS(INDEX($A$3:$AD$675,0,$AG$4),INDEX($A675:$AD675,$AG$4),INDEX($A$3:$AD$675,0,$AG$6),"NON-COMPLIED")=1,1,0)))))</f>
        <v>0</v>
      </c>
    </row>
    <row r="676" customFormat="false" ht="15" hidden="false" customHeight="false" outlineLevel="0" collapsed="false">
      <c r="AH676" s="21" t="n">
        <f aca="false">IF($AG$4=0,0,IF($AG$6=0,0,IF(INDEX($A676:$AD676,$AG$4)="",0,IF(INDEX($A676:$AD676,$AG$6)&lt;&gt;"NON-COMPLIED",0,IF(COUNTIFS(INDEX($A$3:$AD$676,0,$AG$4),INDEX($A676:$AD676,$AG$4),INDEX($A$3:$AD$676,0,$AG$6),"NON-COMPLIED")=1,1,0)))))</f>
        <v>0</v>
      </c>
    </row>
    <row r="677" customFormat="false" ht="15" hidden="false" customHeight="false" outlineLevel="0" collapsed="false">
      <c r="AH677" s="21" t="n">
        <f aca="false">IF($AG$4=0,0,IF($AG$6=0,0,IF(INDEX($A677:$AD677,$AG$4)="",0,IF(INDEX($A677:$AD677,$AG$6)&lt;&gt;"NON-COMPLIED",0,IF(COUNTIFS(INDEX($A$3:$AD$677,0,$AG$4),INDEX($A677:$AD677,$AG$4),INDEX($A$3:$AD$677,0,$AG$6),"NON-COMPLIED")=1,1,0)))))</f>
        <v>0</v>
      </c>
    </row>
    <row r="678" customFormat="false" ht="15" hidden="false" customHeight="false" outlineLevel="0" collapsed="false">
      <c r="AH678" s="21" t="n">
        <f aca="false">IF($AG$4=0,0,IF($AG$6=0,0,IF(INDEX($A678:$AD678,$AG$4)="",0,IF(INDEX($A678:$AD678,$AG$6)&lt;&gt;"NON-COMPLIED",0,IF(COUNTIFS(INDEX($A$3:$AD$678,0,$AG$4),INDEX($A678:$AD678,$AG$4),INDEX($A$3:$AD$678,0,$AG$6),"NON-COMPLIED")=1,1,0)))))</f>
        <v>0</v>
      </c>
    </row>
    <row r="679" customFormat="false" ht="15" hidden="false" customHeight="false" outlineLevel="0" collapsed="false">
      <c r="AH679" s="21" t="n">
        <f aca="false">IF($AG$4=0,0,IF($AG$6=0,0,IF(INDEX($A679:$AD679,$AG$4)="",0,IF(INDEX($A679:$AD679,$AG$6)&lt;&gt;"NON-COMPLIED",0,IF(COUNTIFS(INDEX($A$3:$AD$679,0,$AG$4),INDEX($A679:$AD679,$AG$4),INDEX($A$3:$AD$679,0,$AG$6),"NON-COMPLIED")=1,1,0)))))</f>
        <v>0</v>
      </c>
    </row>
    <row r="680" customFormat="false" ht="15" hidden="false" customHeight="false" outlineLevel="0" collapsed="false">
      <c r="AH680" s="21" t="n">
        <f aca="false">IF($AG$4=0,0,IF($AG$6=0,0,IF(INDEX($A680:$AD680,$AG$4)="",0,IF(INDEX($A680:$AD680,$AG$6)&lt;&gt;"NON-COMPLIED",0,IF(COUNTIFS(INDEX($A$3:$AD$680,0,$AG$4),INDEX($A680:$AD680,$AG$4),INDEX($A$3:$AD$680,0,$AG$6),"NON-COMPLIED")=1,1,0)))))</f>
        <v>0</v>
      </c>
    </row>
    <row r="681" customFormat="false" ht="15" hidden="false" customHeight="false" outlineLevel="0" collapsed="false">
      <c r="AH681" s="21" t="n">
        <f aca="false">IF($AG$4=0,0,IF($AG$6=0,0,IF(INDEX($A681:$AD681,$AG$4)="",0,IF(INDEX($A681:$AD681,$AG$6)&lt;&gt;"NON-COMPLIED",0,IF(COUNTIFS(INDEX($A$3:$AD$681,0,$AG$4),INDEX($A681:$AD681,$AG$4),INDEX($A$3:$AD$681,0,$AG$6),"NON-COMPLIED")=1,1,0)))))</f>
        <v>0</v>
      </c>
    </row>
    <row r="682" customFormat="false" ht="15" hidden="false" customHeight="false" outlineLevel="0" collapsed="false">
      <c r="AH682" s="21" t="n">
        <f aca="false">IF($AG$4=0,0,IF($AG$6=0,0,IF(INDEX($A682:$AD682,$AG$4)="",0,IF(INDEX($A682:$AD682,$AG$6)&lt;&gt;"NON-COMPLIED",0,IF(COUNTIFS(INDEX($A$3:$AD$682,0,$AG$4),INDEX($A682:$AD682,$AG$4),INDEX($A$3:$AD$682,0,$AG$6),"NON-COMPLIED")=1,1,0)))))</f>
        <v>0</v>
      </c>
    </row>
    <row r="683" customFormat="false" ht="15" hidden="false" customHeight="false" outlineLevel="0" collapsed="false">
      <c r="AH683" s="21" t="n">
        <f aca="false">IF($AG$4=0,0,IF($AG$6=0,0,IF(INDEX($A683:$AD683,$AG$4)="",0,IF(INDEX($A683:$AD683,$AG$6)&lt;&gt;"NON-COMPLIED",0,IF(COUNTIFS(INDEX($A$3:$AD$683,0,$AG$4),INDEX($A683:$AD683,$AG$4),INDEX($A$3:$AD$683,0,$AG$6),"NON-COMPLIED")=1,1,0)))))</f>
        <v>0</v>
      </c>
    </row>
    <row r="684" customFormat="false" ht="15" hidden="false" customHeight="false" outlineLevel="0" collapsed="false">
      <c r="AH684" s="21" t="n">
        <f aca="false">IF($AG$4=0,0,IF($AG$6=0,0,IF(INDEX($A684:$AD684,$AG$4)="",0,IF(INDEX($A684:$AD684,$AG$6)&lt;&gt;"NON-COMPLIED",0,IF(COUNTIFS(INDEX($A$3:$AD$684,0,$AG$4),INDEX($A684:$AD684,$AG$4),INDEX($A$3:$AD$684,0,$AG$6),"NON-COMPLIED")=1,1,0)))))</f>
        <v>0</v>
      </c>
    </row>
    <row r="685" customFormat="false" ht="15" hidden="false" customHeight="false" outlineLevel="0" collapsed="false">
      <c r="AH685" s="21" t="n">
        <f aca="false">IF($AG$4=0,0,IF($AG$6=0,0,IF(INDEX($A685:$AD685,$AG$4)="",0,IF(INDEX($A685:$AD685,$AG$6)&lt;&gt;"NON-COMPLIED",0,IF(COUNTIFS(INDEX($A$3:$AD$685,0,$AG$4),INDEX($A685:$AD685,$AG$4),INDEX($A$3:$AD$685,0,$AG$6),"NON-COMPLIED")=1,1,0)))))</f>
        <v>0</v>
      </c>
    </row>
    <row r="686" customFormat="false" ht="15" hidden="false" customHeight="false" outlineLevel="0" collapsed="false">
      <c r="AH686" s="21" t="n">
        <f aca="false">IF($AG$4=0,0,IF($AG$6=0,0,IF(INDEX($A686:$AD686,$AG$4)="",0,IF(INDEX($A686:$AD686,$AG$6)&lt;&gt;"NON-COMPLIED",0,IF(COUNTIFS(INDEX($A$3:$AD$686,0,$AG$4),INDEX($A686:$AD686,$AG$4),INDEX($A$3:$AD$686,0,$AG$6),"NON-COMPLIED")=1,1,0)))))</f>
        <v>0</v>
      </c>
    </row>
    <row r="687" customFormat="false" ht="15" hidden="false" customHeight="false" outlineLevel="0" collapsed="false">
      <c r="AH687" s="21" t="n">
        <f aca="false">IF($AG$4=0,0,IF($AG$6=0,0,IF(INDEX($A687:$AD687,$AG$4)="",0,IF(INDEX($A687:$AD687,$AG$6)&lt;&gt;"NON-COMPLIED",0,IF(COUNTIFS(INDEX($A$3:$AD$687,0,$AG$4),INDEX($A687:$AD687,$AG$4),INDEX($A$3:$AD$687,0,$AG$6),"NON-COMPLIED")=1,1,0)))))</f>
        <v>0</v>
      </c>
    </row>
    <row r="688" customFormat="false" ht="15" hidden="false" customHeight="false" outlineLevel="0" collapsed="false">
      <c r="AH688" s="21" t="n">
        <f aca="false">IF($AG$4=0,0,IF($AG$6=0,0,IF(INDEX($A688:$AD688,$AG$4)="",0,IF(INDEX($A688:$AD688,$AG$6)&lt;&gt;"NON-COMPLIED",0,IF(COUNTIFS(INDEX($A$3:$AD$688,0,$AG$4),INDEX($A688:$AD688,$AG$4),INDEX($A$3:$AD$688,0,$AG$6),"NON-COMPLIED")=1,1,0)))))</f>
        <v>0</v>
      </c>
    </row>
    <row r="689" customFormat="false" ht="15" hidden="false" customHeight="false" outlineLevel="0" collapsed="false">
      <c r="AH689" s="21" t="n">
        <f aca="false">IF($AG$4=0,0,IF($AG$6=0,0,IF(INDEX($A689:$AD689,$AG$4)="",0,IF(INDEX($A689:$AD689,$AG$6)&lt;&gt;"NON-COMPLIED",0,IF(COUNTIFS(INDEX($A$3:$AD$689,0,$AG$4),INDEX($A689:$AD689,$AG$4),INDEX($A$3:$AD$689,0,$AG$6),"NON-COMPLIED")=1,1,0)))))</f>
        <v>0</v>
      </c>
    </row>
    <row r="690" customFormat="false" ht="15" hidden="false" customHeight="false" outlineLevel="0" collapsed="false">
      <c r="AH690" s="21" t="n">
        <f aca="false">IF($AG$4=0,0,IF($AG$6=0,0,IF(INDEX($A690:$AD690,$AG$4)="",0,IF(INDEX($A690:$AD690,$AG$6)&lt;&gt;"NON-COMPLIED",0,IF(COUNTIFS(INDEX($A$3:$AD$690,0,$AG$4),INDEX($A690:$AD690,$AG$4),INDEX($A$3:$AD$690,0,$AG$6),"NON-COMPLIED")=1,1,0)))))</f>
        <v>0</v>
      </c>
    </row>
    <row r="691" customFormat="false" ht="15" hidden="false" customHeight="false" outlineLevel="0" collapsed="false">
      <c r="AH691" s="21" t="n">
        <f aca="false">IF($AG$4=0,0,IF($AG$6=0,0,IF(INDEX($A691:$AD691,$AG$4)="",0,IF(INDEX($A691:$AD691,$AG$6)&lt;&gt;"NON-COMPLIED",0,IF(COUNTIFS(INDEX($A$3:$AD$691,0,$AG$4),INDEX($A691:$AD691,$AG$4),INDEX($A$3:$AD$691,0,$AG$6),"NON-COMPLIED")=1,1,0)))))</f>
        <v>0</v>
      </c>
    </row>
    <row r="692" customFormat="false" ht="15" hidden="false" customHeight="false" outlineLevel="0" collapsed="false">
      <c r="AH692" s="21" t="n">
        <f aca="false">IF($AG$4=0,0,IF($AG$6=0,0,IF(INDEX($A692:$AD692,$AG$4)="",0,IF(INDEX($A692:$AD692,$AG$6)&lt;&gt;"NON-COMPLIED",0,IF(COUNTIFS(INDEX($A$3:$AD$692,0,$AG$4),INDEX($A692:$AD692,$AG$4),INDEX($A$3:$AD$692,0,$AG$6),"NON-COMPLIED")=1,1,0)))))</f>
        <v>0</v>
      </c>
    </row>
    <row r="693" customFormat="false" ht="15" hidden="false" customHeight="false" outlineLevel="0" collapsed="false">
      <c r="AH693" s="21" t="n">
        <f aca="false">IF($AG$4=0,0,IF($AG$6=0,0,IF(INDEX($A693:$AD693,$AG$4)="",0,IF(INDEX($A693:$AD693,$AG$6)&lt;&gt;"NON-COMPLIED",0,IF(COUNTIFS(INDEX($A$3:$AD$693,0,$AG$4),INDEX($A693:$AD693,$AG$4),INDEX($A$3:$AD$693,0,$AG$6),"NON-COMPLIED")=1,1,0)))))</f>
        <v>0</v>
      </c>
    </row>
    <row r="694" customFormat="false" ht="15" hidden="false" customHeight="false" outlineLevel="0" collapsed="false">
      <c r="AH694" s="21" t="n">
        <f aca="false">IF($AG$4=0,0,IF($AG$6=0,0,IF(INDEX($A694:$AD694,$AG$4)="",0,IF(INDEX($A694:$AD694,$AG$6)&lt;&gt;"NON-COMPLIED",0,IF(COUNTIFS(INDEX($A$3:$AD$694,0,$AG$4),INDEX($A694:$AD694,$AG$4),INDEX($A$3:$AD$694,0,$AG$6),"NON-COMPLIED")=1,1,0)))))</f>
        <v>0</v>
      </c>
    </row>
    <row r="695" customFormat="false" ht="15" hidden="false" customHeight="false" outlineLevel="0" collapsed="false">
      <c r="AH695" s="21" t="n">
        <f aca="false">IF($AG$4=0,0,IF($AG$6=0,0,IF(INDEX($A695:$AD695,$AG$4)="",0,IF(INDEX($A695:$AD695,$AG$6)&lt;&gt;"NON-COMPLIED",0,IF(COUNTIFS(INDEX($A$3:$AD$695,0,$AG$4),INDEX($A695:$AD695,$AG$4),INDEX($A$3:$AD$695,0,$AG$6),"NON-COMPLIED")=1,1,0)))))</f>
        <v>0</v>
      </c>
    </row>
    <row r="696" customFormat="false" ht="15" hidden="false" customHeight="false" outlineLevel="0" collapsed="false">
      <c r="AH696" s="21" t="n">
        <f aca="false">IF($AG$4=0,0,IF($AG$6=0,0,IF(INDEX($A696:$AD696,$AG$4)="",0,IF(INDEX($A696:$AD696,$AG$6)&lt;&gt;"NON-COMPLIED",0,IF(COUNTIFS(INDEX($A$3:$AD$696,0,$AG$4),INDEX($A696:$AD696,$AG$4),INDEX($A$3:$AD$696,0,$AG$6),"NON-COMPLIED")=1,1,0)))))</f>
        <v>0</v>
      </c>
    </row>
    <row r="697" customFormat="false" ht="15" hidden="false" customHeight="false" outlineLevel="0" collapsed="false">
      <c r="AH697" s="21" t="n">
        <f aca="false">IF($AG$4=0,0,IF($AG$6=0,0,IF(INDEX($A697:$AD697,$AG$4)="",0,IF(INDEX($A697:$AD697,$AG$6)&lt;&gt;"NON-COMPLIED",0,IF(COUNTIFS(INDEX($A$3:$AD$697,0,$AG$4),INDEX($A697:$AD697,$AG$4),INDEX($A$3:$AD$697,0,$AG$6),"NON-COMPLIED")=1,1,0)))))</f>
        <v>0</v>
      </c>
    </row>
    <row r="698" customFormat="false" ht="15" hidden="false" customHeight="false" outlineLevel="0" collapsed="false">
      <c r="AH698" s="21" t="n">
        <f aca="false">IF($AG$4=0,0,IF($AG$6=0,0,IF(INDEX($A698:$AD698,$AG$4)="",0,IF(INDEX($A698:$AD698,$AG$6)&lt;&gt;"NON-COMPLIED",0,IF(COUNTIFS(INDEX($A$3:$AD$698,0,$AG$4),INDEX($A698:$AD698,$AG$4),INDEX($A$3:$AD$698,0,$AG$6),"NON-COMPLIED")=1,1,0)))))</f>
        <v>0</v>
      </c>
    </row>
    <row r="699" customFormat="false" ht="15" hidden="false" customHeight="false" outlineLevel="0" collapsed="false">
      <c r="AH699" s="21" t="n">
        <f aca="false">IF($AG$4=0,0,IF($AG$6=0,0,IF(INDEX($A699:$AD699,$AG$4)="",0,IF(INDEX($A699:$AD699,$AG$6)&lt;&gt;"NON-COMPLIED",0,IF(COUNTIFS(INDEX($A$3:$AD$699,0,$AG$4),INDEX($A699:$AD699,$AG$4),INDEX($A$3:$AD$699,0,$AG$6),"NON-COMPLIED")=1,1,0)))))</f>
        <v>0</v>
      </c>
    </row>
    <row r="700" customFormat="false" ht="15" hidden="false" customHeight="false" outlineLevel="0" collapsed="false">
      <c r="AH700" s="21" t="n">
        <f aca="false">IF($AG$4=0,0,IF($AG$6=0,0,IF(INDEX($A700:$AD700,$AG$4)="",0,IF(INDEX($A700:$AD700,$AG$6)&lt;&gt;"NON-COMPLIED",0,IF(COUNTIFS(INDEX($A$3:$AD$700,0,$AG$4),INDEX($A700:$AD700,$AG$4),INDEX($A$3:$AD$700,0,$AG$6),"NON-COMPLIED")=1,1,0)))))</f>
        <v>0</v>
      </c>
    </row>
    <row r="701" customFormat="false" ht="15" hidden="false" customHeight="false" outlineLevel="0" collapsed="false">
      <c r="AH701" s="21" t="n">
        <f aca="false">IF($AG$4=0,0,IF($AG$6=0,0,IF(INDEX($A701:$AD701,$AG$4)="",0,IF(INDEX($A701:$AD701,$AG$6)&lt;&gt;"NON-COMPLIED",0,IF(COUNTIFS(INDEX($A$3:$AD$701,0,$AG$4),INDEX($A701:$AD701,$AG$4),INDEX($A$3:$AD$701,0,$AG$6),"NON-COMPLIED")=1,1,0)))))</f>
        <v>0</v>
      </c>
    </row>
    <row r="702" customFormat="false" ht="15" hidden="false" customHeight="false" outlineLevel="0" collapsed="false">
      <c r="AH702" s="21" t="n">
        <f aca="false">IF($AG$4=0,0,IF($AG$6=0,0,IF(INDEX($A702:$AD702,$AG$4)="",0,IF(INDEX($A702:$AD702,$AG$6)&lt;&gt;"NON-COMPLIED",0,IF(COUNTIFS(INDEX($A$3:$AD$702,0,$AG$4),INDEX($A702:$AD702,$AG$4),INDEX($A$3:$AD$702,0,$AG$6),"NON-COMPLIED")=1,1,0)))))</f>
        <v>0</v>
      </c>
    </row>
    <row r="703" customFormat="false" ht="15" hidden="false" customHeight="false" outlineLevel="0" collapsed="false">
      <c r="AH703" s="21" t="n">
        <f aca="false">IF($AG$4=0,0,IF($AG$6=0,0,IF(INDEX($A703:$AD703,$AG$4)="",0,IF(INDEX($A703:$AD703,$AG$6)&lt;&gt;"NON-COMPLIED",0,IF(COUNTIFS(INDEX($A$3:$AD$703,0,$AG$4),INDEX($A703:$AD703,$AG$4),INDEX($A$3:$AD$703,0,$AG$6),"NON-COMPLIED")=1,1,0)))))</f>
        <v>0</v>
      </c>
    </row>
    <row r="704" customFormat="false" ht="15" hidden="false" customHeight="false" outlineLevel="0" collapsed="false">
      <c r="AH704" s="21" t="n">
        <f aca="false">IF($AG$4=0,0,IF($AG$6=0,0,IF(INDEX($A704:$AD704,$AG$4)="",0,IF(INDEX($A704:$AD704,$AG$6)&lt;&gt;"NON-COMPLIED",0,IF(COUNTIFS(INDEX($A$3:$AD$704,0,$AG$4),INDEX($A704:$AD704,$AG$4),INDEX($A$3:$AD$704,0,$AG$6),"NON-COMPLIED")=1,1,0)))))</f>
        <v>0</v>
      </c>
    </row>
    <row r="705" customFormat="false" ht="15" hidden="false" customHeight="false" outlineLevel="0" collapsed="false">
      <c r="AH705" s="21" t="n">
        <f aca="false">IF($AG$4=0,0,IF($AG$6=0,0,IF(INDEX($A705:$AD705,$AG$4)="",0,IF(INDEX($A705:$AD705,$AG$6)&lt;&gt;"NON-COMPLIED",0,IF(COUNTIFS(INDEX($A$3:$AD$705,0,$AG$4),INDEX($A705:$AD705,$AG$4),INDEX($A$3:$AD$705,0,$AG$6),"NON-COMPLIED")=1,1,0)))))</f>
        <v>0</v>
      </c>
    </row>
    <row r="706" customFormat="false" ht="15" hidden="false" customHeight="false" outlineLevel="0" collapsed="false">
      <c r="AH706" s="21" t="n">
        <f aca="false">IF($AG$4=0,0,IF($AG$6=0,0,IF(INDEX($A706:$AD706,$AG$4)="",0,IF(INDEX($A706:$AD706,$AG$6)&lt;&gt;"NON-COMPLIED",0,IF(COUNTIFS(INDEX($A$3:$AD$706,0,$AG$4),INDEX($A706:$AD706,$AG$4),INDEX($A$3:$AD$706,0,$AG$6),"NON-COMPLIED")=1,1,0)))))</f>
        <v>0</v>
      </c>
    </row>
    <row r="707" customFormat="false" ht="15" hidden="false" customHeight="false" outlineLevel="0" collapsed="false">
      <c r="AH707" s="21" t="n">
        <f aca="false">IF($AG$4=0,0,IF($AG$6=0,0,IF(INDEX($A707:$AD707,$AG$4)="",0,IF(INDEX($A707:$AD707,$AG$6)&lt;&gt;"NON-COMPLIED",0,IF(COUNTIFS(INDEX($A$3:$AD$707,0,$AG$4),INDEX($A707:$AD707,$AG$4),INDEX($A$3:$AD$707,0,$AG$6),"NON-COMPLIED")=1,1,0)))))</f>
        <v>0</v>
      </c>
    </row>
    <row r="708" customFormat="false" ht="15" hidden="false" customHeight="false" outlineLevel="0" collapsed="false">
      <c r="AH708" s="21" t="n">
        <f aca="false">IF($AG$4=0,0,IF($AG$6=0,0,IF(INDEX($A708:$AD708,$AG$4)="",0,IF(INDEX($A708:$AD708,$AG$6)&lt;&gt;"NON-COMPLIED",0,IF(COUNTIFS(INDEX($A$3:$AD$708,0,$AG$4),INDEX($A708:$AD708,$AG$4),INDEX($A$3:$AD$708,0,$AG$6),"NON-COMPLIED")=1,1,0)))))</f>
        <v>0</v>
      </c>
    </row>
    <row r="709" customFormat="false" ht="15" hidden="false" customHeight="false" outlineLevel="0" collapsed="false">
      <c r="AH709" s="21" t="n">
        <f aca="false">IF($AG$4=0,0,IF($AG$6=0,0,IF(INDEX($A709:$AD709,$AG$4)="",0,IF(INDEX($A709:$AD709,$AG$6)&lt;&gt;"NON-COMPLIED",0,IF(COUNTIFS(INDEX($A$3:$AD$709,0,$AG$4),INDEX($A709:$AD709,$AG$4),INDEX($A$3:$AD$709,0,$AG$6),"NON-COMPLIED")=1,1,0)))))</f>
        <v>0</v>
      </c>
    </row>
    <row r="710" customFormat="false" ht="15" hidden="false" customHeight="false" outlineLevel="0" collapsed="false">
      <c r="AH710" s="21" t="n">
        <f aca="false">IF($AG$4=0,0,IF($AG$6=0,0,IF(INDEX($A710:$AD710,$AG$4)="",0,IF(INDEX($A710:$AD710,$AG$6)&lt;&gt;"NON-COMPLIED",0,IF(COUNTIFS(INDEX($A$3:$AD$710,0,$AG$4),INDEX($A710:$AD710,$AG$4),INDEX($A$3:$AD$710,0,$AG$6),"NON-COMPLIED")=1,1,0)))))</f>
        <v>0</v>
      </c>
    </row>
    <row r="711" customFormat="false" ht="15" hidden="false" customHeight="false" outlineLevel="0" collapsed="false">
      <c r="AH711" s="21" t="n">
        <f aca="false">IF($AG$4=0,0,IF($AG$6=0,0,IF(INDEX($A711:$AD711,$AG$4)="",0,IF(INDEX($A711:$AD711,$AG$6)&lt;&gt;"NON-COMPLIED",0,IF(COUNTIFS(INDEX($A$3:$AD$711,0,$AG$4),INDEX($A711:$AD711,$AG$4),INDEX($A$3:$AD$711,0,$AG$6),"NON-COMPLIED")=1,1,0)))))</f>
        <v>0</v>
      </c>
    </row>
    <row r="712" customFormat="false" ht="15" hidden="false" customHeight="false" outlineLevel="0" collapsed="false">
      <c r="AH712" s="21" t="n">
        <f aca="false">IF($AG$4=0,0,IF($AG$6=0,0,IF(INDEX($A712:$AD712,$AG$4)="",0,IF(INDEX($A712:$AD712,$AG$6)&lt;&gt;"NON-COMPLIED",0,IF(COUNTIFS(INDEX($A$3:$AD$712,0,$AG$4),INDEX($A712:$AD712,$AG$4),INDEX($A$3:$AD$712,0,$AG$6),"NON-COMPLIED")=1,1,0)))))</f>
        <v>0</v>
      </c>
    </row>
    <row r="713" customFormat="false" ht="15" hidden="false" customHeight="false" outlineLevel="0" collapsed="false">
      <c r="AH713" s="21" t="n">
        <f aca="false">IF($AG$4=0,0,IF($AG$6=0,0,IF(INDEX($A713:$AD713,$AG$4)="",0,IF(INDEX($A713:$AD713,$AG$6)&lt;&gt;"NON-COMPLIED",0,IF(COUNTIFS(INDEX($A$3:$AD$713,0,$AG$4),INDEX($A713:$AD713,$AG$4),INDEX($A$3:$AD$713,0,$AG$6),"NON-COMPLIED")=1,1,0)))))</f>
        <v>0</v>
      </c>
    </row>
    <row r="714" customFormat="false" ht="15" hidden="false" customHeight="false" outlineLevel="0" collapsed="false">
      <c r="AH714" s="21" t="n">
        <f aca="false">IF($AG$4=0,0,IF($AG$6=0,0,IF(INDEX($A714:$AD714,$AG$4)="",0,IF(INDEX($A714:$AD714,$AG$6)&lt;&gt;"NON-COMPLIED",0,IF(COUNTIFS(INDEX($A$3:$AD$714,0,$AG$4),INDEX($A714:$AD714,$AG$4),INDEX($A$3:$AD$714,0,$AG$6),"NON-COMPLIED")=1,1,0)))))</f>
        <v>0</v>
      </c>
    </row>
    <row r="715" customFormat="false" ht="15" hidden="false" customHeight="false" outlineLevel="0" collapsed="false">
      <c r="AH715" s="21" t="n">
        <f aca="false">IF($AG$4=0,0,IF($AG$6=0,0,IF(INDEX($A715:$AD715,$AG$4)="",0,IF(INDEX($A715:$AD715,$AG$6)&lt;&gt;"NON-COMPLIED",0,IF(COUNTIFS(INDEX($A$3:$AD$715,0,$AG$4),INDEX($A715:$AD715,$AG$4),INDEX($A$3:$AD$715,0,$AG$6),"NON-COMPLIED")=1,1,0)))))</f>
        <v>0</v>
      </c>
    </row>
    <row r="716" customFormat="false" ht="15" hidden="false" customHeight="false" outlineLevel="0" collapsed="false">
      <c r="AH716" s="21" t="n">
        <f aca="false">IF($AG$4=0,0,IF($AG$6=0,0,IF(INDEX($A716:$AD716,$AG$4)="",0,IF(INDEX($A716:$AD716,$AG$6)&lt;&gt;"NON-COMPLIED",0,IF(COUNTIFS(INDEX($A$3:$AD$716,0,$AG$4),INDEX($A716:$AD716,$AG$4),INDEX($A$3:$AD$716,0,$AG$6),"NON-COMPLIED")=1,1,0)))))</f>
        <v>0</v>
      </c>
    </row>
    <row r="717" customFormat="false" ht="15" hidden="false" customHeight="false" outlineLevel="0" collapsed="false">
      <c r="AH717" s="21" t="n">
        <f aca="false">IF($AG$4=0,0,IF($AG$6=0,0,IF(INDEX($A717:$AD717,$AG$4)="",0,IF(INDEX($A717:$AD717,$AG$6)&lt;&gt;"NON-COMPLIED",0,IF(COUNTIFS(INDEX($A$3:$AD$717,0,$AG$4),INDEX($A717:$AD717,$AG$4),INDEX($A$3:$AD$717,0,$AG$6),"NON-COMPLIED")=1,1,0)))))</f>
        <v>0</v>
      </c>
    </row>
    <row r="718" customFormat="false" ht="15" hidden="false" customHeight="false" outlineLevel="0" collapsed="false">
      <c r="AH718" s="21" t="n">
        <f aca="false">IF($AG$4=0,0,IF($AG$6=0,0,IF(INDEX($A718:$AD718,$AG$4)="",0,IF(INDEX($A718:$AD718,$AG$6)&lt;&gt;"NON-COMPLIED",0,IF(COUNTIFS(INDEX($A$3:$AD$718,0,$AG$4),INDEX($A718:$AD718,$AG$4),INDEX($A$3:$AD$718,0,$AG$6),"NON-COMPLIED")=1,1,0)))))</f>
        <v>0</v>
      </c>
    </row>
    <row r="719" customFormat="false" ht="15" hidden="false" customHeight="false" outlineLevel="0" collapsed="false">
      <c r="AH719" s="21" t="n">
        <f aca="false">IF($AG$4=0,0,IF($AG$6=0,0,IF(INDEX($A719:$AD719,$AG$4)="",0,IF(INDEX($A719:$AD719,$AG$6)&lt;&gt;"NON-COMPLIED",0,IF(COUNTIFS(INDEX($A$3:$AD$719,0,$AG$4),INDEX($A719:$AD719,$AG$4),INDEX($A$3:$AD$719,0,$AG$6),"NON-COMPLIED")=1,1,0)))))</f>
        <v>0</v>
      </c>
    </row>
    <row r="720" customFormat="false" ht="15" hidden="false" customHeight="false" outlineLevel="0" collapsed="false">
      <c r="AH720" s="21" t="n">
        <f aca="false">IF($AG$4=0,0,IF($AG$6=0,0,IF(INDEX($A720:$AD720,$AG$4)="",0,IF(INDEX($A720:$AD720,$AG$6)&lt;&gt;"NON-COMPLIED",0,IF(COUNTIFS(INDEX($A$3:$AD$720,0,$AG$4),INDEX($A720:$AD720,$AG$4),INDEX($A$3:$AD$720,0,$AG$6),"NON-COMPLIED")=1,1,0)))))</f>
        <v>0</v>
      </c>
    </row>
    <row r="721" customFormat="false" ht="15" hidden="false" customHeight="false" outlineLevel="0" collapsed="false">
      <c r="AH721" s="21" t="n">
        <f aca="false">IF($AG$4=0,0,IF($AG$6=0,0,IF(INDEX($A721:$AD721,$AG$4)="",0,IF(INDEX($A721:$AD721,$AG$6)&lt;&gt;"NON-COMPLIED",0,IF(COUNTIFS(INDEX($A$3:$AD$721,0,$AG$4),INDEX($A721:$AD721,$AG$4),INDEX($A$3:$AD$721,0,$AG$6),"NON-COMPLIED")=1,1,0)))))</f>
        <v>0</v>
      </c>
    </row>
    <row r="722" customFormat="false" ht="15" hidden="false" customHeight="false" outlineLevel="0" collapsed="false">
      <c r="AH722" s="21" t="n">
        <f aca="false">IF($AG$4=0,0,IF($AG$6=0,0,IF(INDEX($A722:$AD722,$AG$4)="",0,IF(INDEX($A722:$AD722,$AG$6)&lt;&gt;"NON-COMPLIED",0,IF(COUNTIFS(INDEX($A$3:$AD$722,0,$AG$4),INDEX($A722:$AD722,$AG$4),INDEX($A$3:$AD$722,0,$AG$6),"NON-COMPLIED")=1,1,0)))))</f>
        <v>0</v>
      </c>
    </row>
    <row r="723" customFormat="false" ht="15" hidden="false" customHeight="false" outlineLevel="0" collapsed="false">
      <c r="AH723" s="21" t="n">
        <f aca="false">IF($AG$4=0,0,IF($AG$6=0,0,IF(INDEX($A723:$AD723,$AG$4)="",0,IF(INDEX($A723:$AD723,$AG$6)&lt;&gt;"NON-COMPLIED",0,IF(COUNTIFS(INDEX($A$3:$AD$723,0,$AG$4),INDEX($A723:$AD723,$AG$4),INDEX($A$3:$AD$723,0,$AG$6),"NON-COMPLIED")=1,1,0)))))</f>
        <v>0</v>
      </c>
    </row>
    <row r="724" customFormat="false" ht="15" hidden="false" customHeight="false" outlineLevel="0" collapsed="false">
      <c r="AH724" s="21" t="n">
        <f aca="false">IF($AG$4=0,0,IF($AG$6=0,0,IF(INDEX($A724:$AD724,$AG$4)="",0,IF(INDEX($A724:$AD724,$AG$6)&lt;&gt;"NON-COMPLIED",0,IF(COUNTIFS(INDEX($A$3:$AD$724,0,$AG$4),INDEX($A724:$AD724,$AG$4),INDEX($A$3:$AD$724,0,$AG$6),"NON-COMPLIED")=1,1,0)))))</f>
        <v>0</v>
      </c>
    </row>
    <row r="725" customFormat="false" ht="15" hidden="false" customHeight="false" outlineLevel="0" collapsed="false">
      <c r="AH725" s="21" t="n">
        <f aca="false">IF($AG$4=0,0,IF($AG$6=0,0,IF(INDEX($A725:$AD725,$AG$4)="",0,IF(INDEX($A725:$AD725,$AG$6)&lt;&gt;"NON-COMPLIED",0,IF(COUNTIFS(INDEX($A$3:$AD$725,0,$AG$4),INDEX($A725:$AD725,$AG$4),INDEX($A$3:$AD$725,0,$AG$6),"NON-COMPLIED")=1,1,0)))))</f>
        <v>0</v>
      </c>
    </row>
    <row r="726" customFormat="false" ht="15" hidden="false" customHeight="false" outlineLevel="0" collapsed="false">
      <c r="AH726" s="21" t="n">
        <f aca="false">IF($AG$4=0,0,IF($AG$6=0,0,IF(INDEX($A726:$AD726,$AG$4)="",0,IF(INDEX($A726:$AD726,$AG$6)&lt;&gt;"NON-COMPLIED",0,IF(COUNTIFS(INDEX($A$3:$AD$726,0,$AG$4),INDEX($A726:$AD726,$AG$4),INDEX($A$3:$AD$726,0,$AG$6),"NON-COMPLIED")=1,1,0)))))</f>
        <v>0</v>
      </c>
    </row>
    <row r="727" customFormat="false" ht="15" hidden="false" customHeight="false" outlineLevel="0" collapsed="false">
      <c r="AH727" s="21" t="n">
        <f aca="false">IF($AG$4=0,0,IF($AG$6=0,0,IF(INDEX($A727:$AD727,$AG$4)="",0,IF(INDEX($A727:$AD727,$AG$6)&lt;&gt;"NON-COMPLIED",0,IF(COUNTIFS(INDEX($A$3:$AD$727,0,$AG$4),INDEX($A727:$AD727,$AG$4),INDEX($A$3:$AD$727,0,$AG$6),"NON-COMPLIED")=1,1,0)))))</f>
        <v>0</v>
      </c>
    </row>
    <row r="728" customFormat="false" ht="15" hidden="false" customHeight="false" outlineLevel="0" collapsed="false">
      <c r="AH728" s="21" t="n">
        <f aca="false">IF($AG$4=0,0,IF($AG$6=0,0,IF(INDEX($A728:$AD728,$AG$4)="",0,IF(INDEX($A728:$AD728,$AG$6)&lt;&gt;"NON-COMPLIED",0,IF(COUNTIFS(INDEX($A$3:$AD$728,0,$AG$4),INDEX($A728:$AD728,$AG$4),INDEX($A$3:$AD$728,0,$AG$6),"NON-COMPLIED")=1,1,0)))))</f>
        <v>0</v>
      </c>
    </row>
    <row r="729" customFormat="false" ht="15" hidden="false" customHeight="false" outlineLevel="0" collapsed="false">
      <c r="AH729" s="21" t="n">
        <f aca="false">IF($AG$4=0,0,IF($AG$6=0,0,IF(INDEX($A729:$AD729,$AG$4)="",0,IF(INDEX($A729:$AD729,$AG$6)&lt;&gt;"NON-COMPLIED",0,IF(COUNTIFS(INDEX($A$3:$AD$729,0,$AG$4),INDEX($A729:$AD729,$AG$4),INDEX($A$3:$AD$729,0,$AG$6),"NON-COMPLIED")=1,1,0)))))</f>
        <v>0</v>
      </c>
    </row>
    <row r="730" customFormat="false" ht="15" hidden="false" customHeight="false" outlineLevel="0" collapsed="false">
      <c r="AH730" s="21" t="n">
        <f aca="false">IF($AG$4=0,0,IF($AG$6=0,0,IF(INDEX($A730:$AD730,$AG$4)="",0,IF(INDEX($A730:$AD730,$AG$6)&lt;&gt;"NON-COMPLIED",0,IF(COUNTIFS(INDEX($A$3:$AD$730,0,$AG$4),INDEX($A730:$AD730,$AG$4),INDEX($A$3:$AD$730,0,$AG$6),"NON-COMPLIED")=1,1,0)))))</f>
        <v>0</v>
      </c>
    </row>
    <row r="731" customFormat="false" ht="15" hidden="false" customHeight="false" outlineLevel="0" collapsed="false">
      <c r="AH731" s="21" t="n">
        <f aca="false">IF($AG$4=0,0,IF($AG$6=0,0,IF(INDEX($A731:$AD731,$AG$4)="",0,IF(INDEX($A731:$AD731,$AG$6)&lt;&gt;"NON-COMPLIED",0,IF(COUNTIFS(INDEX($A$3:$AD$731,0,$AG$4),INDEX($A731:$AD731,$AG$4),INDEX($A$3:$AD$731,0,$AG$6),"NON-COMPLIED")=1,1,0)))))</f>
        <v>0</v>
      </c>
    </row>
    <row r="732" customFormat="false" ht="15" hidden="false" customHeight="false" outlineLevel="0" collapsed="false">
      <c r="AH732" s="21" t="n">
        <f aca="false">IF($AG$4=0,0,IF($AG$6=0,0,IF(INDEX($A732:$AD732,$AG$4)="",0,IF(INDEX($A732:$AD732,$AG$6)&lt;&gt;"NON-COMPLIED",0,IF(COUNTIFS(INDEX($A$3:$AD$732,0,$AG$4),INDEX($A732:$AD732,$AG$4),INDEX($A$3:$AD$732,0,$AG$6),"NON-COMPLIED")=1,1,0)))))</f>
        <v>0</v>
      </c>
    </row>
    <row r="733" customFormat="false" ht="15" hidden="false" customHeight="false" outlineLevel="0" collapsed="false">
      <c r="AH733" s="21" t="n">
        <f aca="false">IF($AG$4=0,0,IF($AG$6=0,0,IF(INDEX($A733:$AD733,$AG$4)="",0,IF(INDEX($A733:$AD733,$AG$6)&lt;&gt;"NON-COMPLIED",0,IF(COUNTIFS(INDEX($A$3:$AD$733,0,$AG$4),INDEX($A733:$AD733,$AG$4),INDEX($A$3:$AD$733,0,$AG$6),"NON-COMPLIED")=1,1,0)))))</f>
        <v>0</v>
      </c>
    </row>
    <row r="734" customFormat="false" ht="15" hidden="false" customHeight="false" outlineLevel="0" collapsed="false">
      <c r="AH734" s="21" t="n">
        <f aca="false">IF($AG$4=0,0,IF($AG$6=0,0,IF(INDEX($A734:$AD734,$AG$4)="",0,IF(INDEX($A734:$AD734,$AG$6)&lt;&gt;"NON-COMPLIED",0,IF(COUNTIFS(INDEX($A$3:$AD$734,0,$AG$4),INDEX($A734:$AD734,$AG$4),INDEX($A$3:$AD$734,0,$AG$6),"NON-COMPLIED")=1,1,0)))))</f>
        <v>0</v>
      </c>
    </row>
    <row r="735" customFormat="false" ht="15" hidden="false" customHeight="false" outlineLevel="0" collapsed="false">
      <c r="AH735" s="21" t="n">
        <f aca="false">IF($AG$4=0,0,IF($AG$6=0,0,IF(INDEX($A735:$AD735,$AG$4)="",0,IF(INDEX($A735:$AD735,$AG$6)&lt;&gt;"NON-COMPLIED",0,IF(COUNTIFS(INDEX($A$3:$AD$735,0,$AG$4),INDEX($A735:$AD735,$AG$4),INDEX($A$3:$AD$735,0,$AG$6),"NON-COMPLIED")=1,1,0)))))</f>
        <v>0</v>
      </c>
    </row>
    <row r="736" customFormat="false" ht="15" hidden="false" customHeight="false" outlineLevel="0" collapsed="false">
      <c r="AH736" s="21" t="n">
        <f aca="false">IF($AG$4=0,0,IF($AG$6=0,0,IF(INDEX($A736:$AD736,$AG$4)="",0,IF(INDEX($A736:$AD736,$AG$6)&lt;&gt;"NON-COMPLIED",0,IF(COUNTIFS(INDEX($A$3:$AD$736,0,$AG$4),INDEX($A736:$AD736,$AG$4),INDEX($A$3:$AD$736,0,$AG$6),"NON-COMPLIED")=1,1,0)))))</f>
        <v>0</v>
      </c>
    </row>
    <row r="737" customFormat="false" ht="15" hidden="false" customHeight="false" outlineLevel="0" collapsed="false">
      <c r="AH737" s="21" t="n">
        <f aca="false">IF($AG$4=0,0,IF($AG$6=0,0,IF(INDEX($A737:$AD737,$AG$4)="",0,IF(INDEX($A737:$AD737,$AG$6)&lt;&gt;"NON-COMPLIED",0,IF(COUNTIFS(INDEX($A$3:$AD$737,0,$AG$4),INDEX($A737:$AD737,$AG$4),INDEX($A$3:$AD$737,0,$AG$6),"NON-COMPLIED")=1,1,0)))))</f>
        <v>0</v>
      </c>
    </row>
    <row r="738" customFormat="false" ht="15" hidden="false" customHeight="false" outlineLevel="0" collapsed="false">
      <c r="AH738" s="21" t="n">
        <f aca="false">IF($AG$4=0,0,IF($AG$6=0,0,IF(INDEX($A738:$AD738,$AG$4)="",0,IF(INDEX($A738:$AD738,$AG$6)&lt;&gt;"NON-COMPLIED",0,IF(COUNTIFS(INDEX($A$3:$AD$738,0,$AG$4),INDEX($A738:$AD738,$AG$4),INDEX($A$3:$AD$738,0,$AG$6),"NON-COMPLIED")=1,1,0)))))</f>
        <v>0</v>
      </c>
    </row>
    <row r="739" customFormat="false" ht="15" hidden="false" customHeight="false" outlineLevel="0" collapsed="false">
      <c r="AH739" s="21" t="n">
        <f aca="false">IF($AG$4=0,0,IF($AG$6=0,0,IF(INDEX($A739:$AD739,$AG$4)="",0,IF(INDEX($A739:$AD739,$AG$6)&lt;&gt;"NON-COMPLIED",0,IF(COUNTIFS(INDEX($A$3:$AD$739,0,$AG$4),INDEX($A739:$AD739,$AG$4),INDEX($A$3:$AD$739,0,$AG$6),"NON-COMPLIED")=1,1,0)))))</f>
        <v>0</v>
      </c>
    </row>
    <row r="740" customFormat="false" ht="15" hidden="false" customHeight="false" outlineLevel="0" collapsed="false">
      <c r="AH740" s="21" t="n">
        <f aca="false">IF($AG$4=0,0,IF($AG$6=0,0,IF(INDEX($A740:$AD740,$AG$4)="",0,IF(INDEX($A740:$AD740,$AG$6)&lt;&gt;"NON-COMPLIED",0,IF(COUNTIFS(INDEX($A$3:$AD$740,0,$AG$4),INDEX($A740:$AD740,$AG$4),INDEX($A$3:$AD$740,0,$AG$6),"NON-COMPLIED")=1,1,0)))))</f>
        <v>0</v>
      </c>
    </row>
    <row r="741" customFormat="false" ht="15" hidden="false" customHeight="false" outlineLevel="0" collapsed="false">
      <c r="AH741" s="21" t="n">
        <f aca="false">IF($AG$4=0,0,IF($AG$6=0,0,IF(INDEX($A741:$AD741,$AG$4)="",0,IF(INDEX($A741:$AD741,$AG$6)&lt;&gt;"NON-COMPLIED",0,IF(COUNTIFS(INDEX($A$3:$AD$741,0,$AG$4),INDEX($A741:$AD741,$AG$4),INDEX($A$3:$AD$741,0,$AG$6),"NON-COMPLIED")=1,1,0)))))</f>
        <v>0</v>
      </c>
    </row>
    <row r="742" customFormat="false" ht="15" hidden="false" customHeight="false" outlineLevel="0" collapsed="false">
      <c r="AH742" s="21" t="n">
        <f aca="false">IF($AG$4=0,0,IF($AG$6=0,0,IF(INDEX($A742:$AD742,$AG$4)="",0,IF(INDEX($A742:$AD742,$AG$6)&lt;&gt;"NON-COMPLIED",0,IF(COUNTIFS(INDEX($A$3:$AD$742,0,$AG$4),INDEX($A742:$AD742,$AG$4),INDEX($A$3:$AD$742,0,$AG$6),"NON-COMPLIED")=1,1,0)))))</f>
        <v>0</v>
      </c>
    </row>
    <row r="743" customFormat="false" ht="15" hidden="false" customHeight="false" outlineLevel="0" collapsed="false">
      <c r="AH743" s="21" t="n">
        <f aca="false">IF($AG$4=0,0,IF($AG$6=0,0,IF(INDEX($A743:$AD743,$AG$4)="",0,IF(INDEX($A743:$AD743,$AG$6)&lt;&gt;"NON-COMPLIED",0,IF(COUNTIFS(INDEX($A$3:$AD$743,0,$AG$4),INDEX($A743:$AD743,$AG$4),INDEX($A$3:$AD$743,0,$AG$6),"NON-COMPLIED")=1,1,0)))))</f>
        <v>0</v>
      </c>
    </row>
    <row r="744" customFormat="false" ht="15" hidden="false" customHeight="false" outlineLevel="0" collapsed="false">
      <c r="AH744" s="21" t="n">
        <f aca="false">IF($AG$4=0,0,IF($AG$6=0,0,IF(INDEX($A744:$AD744,$AG$4)="",0,IF(INDEX($A744:$AD744,$AG$6)&lt;&gt;"NON-COMPLIED",0,IF(COUNTIFS(INDEX($A$3:$AD$744,0,$AG$4),INDEX($A744:$AD744,$AG$4),INDEX($A$3:$AD$744,0,$AG$6),"NON-COMPLIED")=1,1,0)))))</f>
        <v>0</v>
      </c>
    </row>
    <row r="745" customFormat="false" ht="15" hidden="false" customHeight="false" outlineLevel="0" collapsed="false">
      <c r="AH745" s="21" t="n">
        <f aca="false">IF($AG$4=0,0,IF($AG$6=0,0,IF(INDEX($A745:$AD745,$AG$4)="",0,IF(INDEX($A745:$AD745,$AG$6)&lt;&gt;"NON-COMPLIED",0,IF(COUNTIFS(INDEX($A$3:$AD$745,0,$AG$4),INDEX($A745:$AD745,$AG$4),INDEX($A$3:$AD$745,0,$AG$6),"NON-COMPLIED")=1,1,0)))))</f>
        <v>0</v>
      </c>
    </row>
    <row r="746" customFormat="false" ht="15" hidden="false" customHeight="false" outlineLevel="0" collapsed="false">
      <c r="AH746" s="21" t="n">
        <f aca="false">IF($AG$4=0,0,IF($AG$6=0,0,IF(INDEX($A746:$AD746,$AG$4)="",0,IF(INDEX($A746:$AD746,$AG$6)&lt;&gt;"NON-COMPLIED",0,IF(COUNTIFS(INDEX($A$3:$AD$746,0,$AG$4),INDEX($A746:$AD746,$AG$4),INDEX($A$3:$AD$746,0,$AG$6),"NON-COMPLIED")=1,1,0)))))</f>
        <v>0</v>
      </c>
    </row>
    <row r="747" customFormat="false" ht="15" hidden="false" customHeight="false" outlineLevel="0" collapsed="false">
      <c r="AH747" s="21" t="n">
        <f aca="false">IF($AG$4=0,0,IF($AG$6=0,0,IF(INDEX($A747:$AD747,$AG$4)="",0,IF(INDEX($A747:$AD747,$AG$6)&lt;&gt;"NON-COMPLIED",0,IF(COUNTIFS(INDEX($A$3:$AD$747,0,$AG$4),INDEX($A747:$AD747,$AG$4),INDEX($A$3:$AD$747,0,$AG$6),"NON-COMPLIED")=1,1,0)))))</f>
        <v>0</v>
      </c>
    </row>
    <row r="748" customFormat="false" ht="15" hidden="false" customHeight="false" outlineLevel="0" collapsed="false">
      <c r="AH748" s="21" t="n">
        <f aca="false">IF($AG$4=0,0,IF($AG$6=0,0,IF(INDEX($A748:$AD748,$AG$4)="",0,IF(INDEX($A748:$AD748,$AG$6)&lt;&gt;"NON-COMPLIED",0,IF(COUNTIFS(INDEX($A$3:$AD$748,0,$AG$4),INDEX($A748:$AD748,$AG$4),INDEX($A$3:$AD$748,0,$AG$6),"NON-COMPLIED")=1,1,0)))))</f>
        <v>0</v>
      </c>
    </row>
    <row r="749" customFormat="false" ht="15" hidden="false" customHeight="false" outlineLevel="0" collapsed="false">
      <c r="AH749" s="21" t="n">
        <f aca="false">IF($AG$4=0,0,IF($AG$6=0,0,IF(INDEX($A749:$AD749,$AG$4)="",0,IF(INDEX($A749:$AD749,$AG$6)&lt;&gt;"NON-COMPLIED",0,IF(COUNTIFS(INDEX($A$3:$AD$749,0,$AG$4),INDEX($A749:$AD749,$AG$4),INDEX($A$3:$AD$749,0,$AG$6),"NON-COMPLIED")=1,1,0)))))</f>
        <v>0</v>
      </c>
    </row>
    <row r="750" customFormat="false" ht="15" hidden="false" customHeight="false" outlineLevel="0" collapsed="false">
      <c r="AH750" s="21" t="n">
        <f aca="false">IF($AG$4=0,0,IF($AG$6=0,0,IF(INDEX($A750:$AD750,$AG$4)="",0,IF(INDEX($A750:$AD750,$AG$6)&lt;&gt;"NON-COMPLIED",0,IF(COUNTIFS(INDEX($A$3:$AD$750,0,$AG$4),INDEX($A750:$AD750,$AG$4),INDEX($A$3:$AD$750,0,$AG$6),"NON-COMPLIED")=1,1,0)))))</f>
        <v>0</v>
      </c>
    </row>
    <row r="751" customFormat="false" ht="15" hidden="false" customHeight="false" outlineLevel="0" collapsed="false">
      <c r="AH751" s="21" t="n">
        <f aca="false">IF($AG$4=0,0,IF($AG$6=0,0,IF(INDEX($A751:$AD751,$AG$4)="",0,IF(INDEX($A751:$AD751,$AG$6)&lt;&gt;"NON-COMPLIED",0,IF(COUNTIFS(INDEX($A$3:$AD$751,0,$AG$4),INDEX($A751:$AD751,$AG$4),INDEX($A$3:$AD$751,0,$AG$6),"NON-COMPLIED")=1,1,0)))))</f>
        <v>0</v>
      </c>
    </row>
    <row r="752" customFormat="false" ht="15" hidden="false" customHeight="false" outlineLevel="0" collapsed="false">
      <c r="AH752" s="21" t="n">
        <f aca="false">IF($AG$4=0,0,IF($AG$6=0,0,IF(INDEX($A752:$AD752,$AG$4)="",0,IF(INDEX($A752:$AD752,$AG$6)&lt;&gt;"NON-COMPLIED",0,IF(COUNTIFS(INDEX($A$3:$AD$752,0,$AG$4),INDEX($A752:$AD752,$AG$4),INDEX($A$3:$AD$752,0,$AG$6),"NON-COMPLIED")=1,1,0)))))</f>
        <v>0</v>
      </c>
    </row>
    <row r="753" customFormat="false" ht="15" hidden="false" customHeight="false" outlineLevel="0" collapsed="false">
      <c r="AH753" s="21" t="n">
        <f aca="false">IF($AG$4=0,0,IF($AG$6=0,0,IF(INDEX($A753:$AD753,$AG$4)="",0,IF(INDEX($A753:$AD753,$AG$6)&lt;&gt;"NON-COMPLIED",0,IF(COUNTIFS(INDEX($A$3:$AD$753,0,$AG$4),INDEX($A753:$AD753,$AG$4),INDEX($A$3:$AD$753,0,$AG$6),"NON-COMPLIED")=1,1,0)))))</f>
        <v>0</v>
      </c>
    </row>
    <row r="754" customFormat="false" ht="15" hidden="false" customHeight="false" outlineLevel="0" collapsed="false">
      <c r="AH754" s="21" t="n">
        <f aca="false">IF($AG$4=0,0,IF($AG$6=0,0,IF(INDEX($A754:$AD754,$AG$4)="",0,IF(INDEX($A754:$AD754,$AG$6)&lt;&gt;"NON-COMPLIED",0,IF(COUNTIFS(INDEX($A$3:$AD$754,0,$AG$4),INDEX($A754:$AD754,$AG$4),INDEX($A$3:$AD$754,0,$AG$6),"NON-COMPLIED")=1,1,0)))))</f>
        <v>0</v>
      </c>
    </row>
    <row r="755" customFormat="false" ht="15" hidden="false" customHeight="false" outlineLevel="0" collapsed="false">
      <c r="AH755" s="21" t="n">
        <f aca="false">IF($AG$4=0,0,IF($AG$6=0,0,IF(INDEX($A755:$AD755,$AG$4)="",0,IF(INDEX($A755:$AD755,$AG$6)&lt;&gt;"NON-COMPLIED",0,IF(COUNTIFS(INDEX($A$3:$AD$755,0,$AG$4),INDEX($A755:$AD755,$AG$4),INDEX($A$3:$AD$755,0,$AG$6),"NON-COMPLIED")=1,1,0)))))</f>
        <v>0</v>
      </c>
    </row>
    <row r="756" customFormat="false" ht="15" hidden="false" customHeight="false" outlineLevel="0" collapsed="false">
      <c r="AH756" s="21" t="n">
        <f aca="false">IF($AG$4=0,0,IF($AG$6=0,0,IF(INDEX($A756:$AD756,$AG$4)="",0,IF(INDEX($A756:$AD756,$AG$6)&lt;&gt;"NON-COMPLIED",0,IF(COUNTIFS(INDEX($A$3:$AD$756,0,$AG$4),INDEX($A756:$AD756,$AG$4),INDEX($A$3:$AD$756,0,$AG$6),"NON-COMPLIED")=1,1,0)))))</f>
        <v>0</v>
      </c>
    </row>
    <row r="757" customFormat="false" ht="15" hidden="false" customHeight="false" outlineLevel="0" collapsed="false">
      <c r="AH757" s="21" t="n">
        <f aca="false">IF($AG$4=0,0,IF($AG$6=0,0,IF(INDEX($A757:$AD757,$AG$4)="",0,IF(INDEX($A757:$AD757,$AG$6)&lt;&gt;"NON-COMPLIED",0,IF(COUNTIFS(INDEX($A$3:$AD$757,0,$AG$4),INDEX($A757:$AD757,$AG$4),INDEX($A$3:$AD$757,0,$AG$6),"NON-COMPLIED")=1,1,0)))))</f>
        <v>0</v>
      </c>
    </row>
    <row r="758" customFormat="false" ht="15" hidden="false" customHeight="false" outlineLevel="0" collapsed="false">
      <c r="AH758" s="21" t="n">
        <f aca="false">IF($AG$4=0,0,IF($AG$6=0,0,IF(INDEX($A758:$AD758,$AG$4)="",0,IF(INDEX($A758:$AD758,$AG$6)&lt;&gt;"NON-COMPLIED",0,IF(COUNTIFS(INDEX($A$3:$AD$758,0,$AG$4),INDEX($A758:$AD758,$AG$4),INDEX($A$3:$AD$758,0,$AG$6),"NON-COMPLIED")=1,1,0)))))</f>
        <v>0</v>
      </c>
    </row>
    <row r="759" customFormat="false" ht="15" hidden="false" customHeight="false" outlineLevel="0" collapsed="false">
      <c r="AH759" s="21" t="n">
        <f aca="false">IF($AG$4=0,0,IF($AG$6=0,0,IF(INDEX($A759:$AD759,$AG$4)="",0,IF(INDEX($A759:$AD759,$AG$6)&lt;&gt;"NON-COMPLIED",0,IF(COUNTIFS(INDEX($A$3:$AD$759,0,$AG$4),INDEX($A759:$AD759,$AG$4),INDEX($A$3:$AD$759,0,$AG$6),"NON-COMPLIED")=1,1,0)))))</f>
        <v>0</v>
      </c>
    </row>
    <row r="760" customFormat="false" ht="15" hidden="false" customHeight="false" outlineLevel="0" collapsed="false">
      <c r="AH760" s="21" t="n">
        <f aca="false">IF($AG$4=0,0,IF($AG$6=0,0,IF(INDEX($A760:$AD760,$AG$4)="",0,IF(INDEX($A760:$AD760,$AG$6)&lt;&gt;"NON-COMPLIED",0,IF(COUNTIFS(INDEX($A$3:$AD$760,0,$AG$4),INDEX($A760:$AD760,$AG$4),INDEX($A$3:$AD$760,0,$AG$6),"NON-COMPLIED")=1,1,0)))))</f>
        <v>0</v>
      </c>
    </row>
    <row r="761" customFormat="false" ht="15" hidden="false" customHeight="false" outlineLevel="0" collapsed="false">
      <c r="AH761" s="21" t="n">
        <f aca="false">IF($AG$4=0,0,IF($AG$6=0,0,IF(INDEX($A761:$AD761,$AG$4)="",0,IF(INDEX($A761:$AD761,$AG$6)&lt;&gt;"NON-COMPLIED",0,IF(COUNTIFS(INDEX($A$3:$AD$761,0,$AG$4),INDEX($A761:$AD761,$AG$4),INDEX($A$3:$AD$761,0,$AG$6),"NON-COMPLIED")=1,1,0)))))</f>
        <v>0</v>
      </c>
    </row>
    <row r="762" customFormat="false" ht="15" hidden="false" customHeight="false" outlineLevel="0" collapsed="false">
      <c r="AH762" s="21" t="n">
        <f aca="false">IF($AG$4=0,0,IF($AG$6=0,0,IF(INDEX($A762:$AD762,$AG$4)="",0,IF(INDEX($A762:$AD762,$AG$6)&lt;&gt;"NON-COMPLIED",0,IF(COUNTIFS(INDEX($A$3:$AD$762,0,$AG$4),INDEX($A762:$AD762,$AG$4),INDEX($A$3:$AD$762,0,$AG$6),"NON-COMPLIED")=1,1,0)))))</f>
        <v>0</v>
      </c>
    </row>
    <row r="763" customFormat="false" ht="15" hidden="false" customHeight="false" outlineLevel="0" collapsed="false">
      <c r="AH763" s="21" t="n">
        <f aca="false">IF($AG$4=0,0,IF($AG$6=0,0,IF(INDEX($A763:$AD763,$AG$4)="",0,IF(INDEX($A763:$AD763,$AG$6)&lt;&gt;"NON-COMPLIED",0,IF(COUNTIFS(INDEX($A$3:$AD$763,0,$AG$4),INDEX($A763:$AD763,$AG$4),INDEX($A$3:$AD$763,0,$AG$6),"NON-COMPLIED")=1,1,0)))))</f>
        <v>0</v>
      </c>
    </row>
    <row r="764" customFormat="false" ht="15" hidden="false" customHeight="false" outlineLevel="0" collapsed="false">
      <c r="AH764" s="21" t="n">
        <f aca="false">IF($AG$4=0,0,IF($AG$6=0,0,IF(INDEX($A764:$AD764,$AG$4)="",0,IF(INDEX($A764:$AD764,$AG$6)&lt;&gt;"NON-COMPLIED",0,IF(COUNTIFS(INDEX($A$3:$AD$764,0,$AG$4),INDEX($A764:$AD764,$AG$4),INDEX($A$3:$AD$764,0,$AG$6),"NON-COMPLIED")=1,1,0)))))</f>
        <v>0</v>
      </c>
    </row>
    <row r="765" customFormat="false" ht="15" hidden="false" customHeight="false" outlineLevel="0" collapsed="false">
      <c r="AH765" s="21" t="n">
        <f aca="false">IF($AG$4=0,0,IF($AG$6=0,0,IF(INDEX($A765:$AD765,$AG$4)="",0,IF(INDEX($A765:$AD765,$AG$6)&lt;&gt;"NON-COMPLIED",0,IF(COUNTIFS(INDEX($A$3:$AD$765,0,$AG$4),INDEX($A765:$AD765,$AG$4),INDEX($A$3:$AD$765,0,$AG$6),"NON-COMPLIED")=1,1,0)))))</f>
        <v>0</v>
      </c>
    </row>
    <row r="766" customFormat="false" ht="15" hidden="false" customHeight="false" outlineLevel="0" collapsed="false">
      <c r="AH766" s="21" t="n">
        <f aca="false">IF($AG$4=0,0,IF($AG$6=0,0,IF(INDEX($A766:$AD766,$AG$4)="",0,IF(INDEX($A766:$AD766,$AG$6)&lt;&gt;"NON-COMPLIED",0,IF(COUNTIFS(INDEX($A$3:$AD$766,0,$AG$4),INDEX($A766:$AD766,$AG$4),INDEX($A$3:$AD$766,0,$AG$6),"NON-COMPLIED")=1,1,0)))))</f>
        <v>0</v>
      </c>
    </row>
    <row r="767" customFormat="false" ht="15" hidden="false" customHeight="false" outlineLevel="0" collapsed="false">
      <c r="AH767" s="21" t="n">
        <f aca="false">IF($AG$4=0,0,IF($AG$6=0,0,IF(INDEX($A767:$AD767,$AG$4)="",0,IF(INDEX($A767:$AD767,$AG$6)&lt;&gt;"NON-COMPLIED",0,IF(COUNTIFS(INDEX($A$3:$AD$767,0,$AG$4),INDEX($A767:$AD767,$AG$4),INDEX($A$3:$AD$767,0,$AG$6),"NON-COMPLIED")=1,1,0)))))</f>
        <v>0</v>
      </c>
    </row>
    <row r="768" customFormat="false" ht="15" hidden="false" customHeight="false" outlineLevel="0" collapsed="false">
      <c r="AH768" s="21" t="n">
        <f aca="false">IF($AG$4=0,0,IF($AG$6=0,0,IF(INDEX($A768:$AD768,$AG$4)="",0,IF(INDEX($A768:$AD768,$AG$6)&lt;&gt;"NON-COMPLIED",0,IF(COUNTIFS(INDEX($A$3:$AD$768,0,$AG$4),INDEX($A768:$AD768,$AG$4),INDEX($A$3:$AD$768,0,$AG$6),"NON-COMPLIED")=1,1,0)))))</f>
        <v>0</v>
      </c>
    </row>
    <row r="769" customFormat="false" ht="15" hidden="false" customHeight="false" outlineLevel="0" collapsed="false">
      <c r="AH769" s="21" t="n">
        <f aca="false">IF($AG$4=0,0,IF($AG$6=0,0,IF(INDEX($A769:$AD769,$AG$4)="",0,IF(INDEX($A769:$AD769,$AG$6)&lt;&gt;"NON-COMPLIED",0,IF(COUNTIFS(INDEX($A$3:$AD$769,0,$AG$4),INDEX($A769:$AD769,$AG$4),INDEX($A$3:$AD$769,0,$AG$6),"NON-COMPLIED")=1,1,0)))))</f>
        <v>0</v>
      </c>
    </row>
    <row r="770" customFormat="false" ht="15" hidden="false" customHeight="false" outlineLevel="0" collapsed="false">
      <c r="AH770" s="21" t="n">
        <f aca="false">IF($AG$4=0,0,IF($AG$6=0,0,IF(INDEX($A770:$AD770,$AG$4)="",0,IF(INDEX($A770:$AD770,$AG$6)&lt;&gt;"NON-COMPLIED",0,IF(COUNTIFS(INDEX($A$3:$AD$770,0,$AG$4),INDEX($A770:$AD770,$AG$4),INDEX($A$3:$AD$770,0,$AG$6),"NON-COMPLIED")=1,1,0)))))</f>
        <v>0</v>
      </c>
    </row>
    <row r="771" customFormat="false" ht="15" hidden="false" customHeight="false" outlineLevel="0" collapsed="false">
      <c r="AH771" s="21" t="n">
        <f aca="false">IF($AG$4=0,0,IF($AG$6=0,0,IF(INDEX($A771:$AD771,$AG$4)="",0,IF(INDEX($A771:$AD771,$AG$6)&lt;&gt;"NON-COMPLIED",0,IF(COUNTIFS(INDEX($A$3:$AD$771,0,$AG$4),INDEX($A771:$AD771,$AG$4),INDEX($A$3:$AD$771,0,$AG$6),"NON-COMPLIED")=1,1,0)))))</f>
        <v>0</v>
      </c>
    </row>
    <row r="772" customFormat="false" ht="15" hidden="false" customHeight="false" outlineLevel="0" collapsed="false">
      <c r="AH772" s="21" t="n">
        <f aca="false">IF($AG$4=0,0,IF($AG$6=0,0,IF(INDEX($A772:$AD772,$AG$4)="",0,IF(INDEX($A772:$AD772,$AG$6)&lt;&gt;"NON-COMPLIED",0,IF(COUNTIFS(INDEX($A$3:$AD$772,0,$AG$4),INDEX($A772:$AD772,$AG$4),INDEX($A$3:$AD$772,0,$AG$6),"NON-COMPLIED")=1,1,0)))))</f>
        <v>0</v>
      </c>
    </row>
    <row r="773" customFormat="false" ht="15" hidden="false" customHeight="false" outlineLevel="0" collapsed="false">
      <c r="AH773" s="21" t="n">
        <f aca="false">IF($AG$4=0,0,IF($AG$6=0,0,IF(INDEX($A773:$AD773,$AG$4)="",0,IF(INDEX($A773:$AD773,$AG$6)&lt;&gt;"NON-COMPLIED",0,IF(COUNTIFS(INDEX($A$3:$AD$773,0,$AG$4),INDEX($A773:$AD773,$AG$4),INDEX($A$3:$AD$773,0,$AG$6),"NON-COMPLIED")=1,1,0)))))</f>
        <v>0</v>
      </c>
    </row>
    <row r="774" customFormat="false" ht="15" hidden="false" customHeight="false" outlineLevel="0" collapsed="false">
      <c r="AH774" s="21" t="n">
        <f aca="false">IF($AG$4=0,0,IF($AG$6=0,0,IF(INDEX($A774:$AD774,$AG$4)="",0,IF(INDEX($A774:$AD774,$AG$6)&lt;&gt;"NON-COMPLIED",0,IF(COUNTIFS(INDEX($A$3:$AD$774,0,$AG$4),INDEX($A774:$AD774,$AG$4),INDEX($A$3:$AD$774,0,$AG$6),"NON-COMPLIED")=1,1,0)))))</f>
        <v>0</v>
      </c>
    </row>
    <row r="775" customFormat="false" ht="15" hidden="false" customHeight="false" outlineLevel="0" collapsed="false">
      <c r="AH775" s="21" t="n">
        <f aca="false">IF($AG$4=0,0,IF($AG$6=0,0,IF(INDEX($A775:$AD775,$AG$4)="",0,IF(INDEX($A775:$AD775,$AG$6)&lt;&gt;"NON-COMPLIED",0,IF(COUNTIFS(INDEX($A$3:$AD$775,0,$AG$4),INDEX($A775:$AD775,$AG$4),INDEX($A$3:$AD$775,0,$AG$6),"NON-COMPLIED")=1,1,0)))))</f>
        <v>0</v>
      </c>
    </row>
    <row r="776" customFormat="false" ht="15" hidden="false" customHeight="false" outlineLevel="0" collapsed="false">
      <c r="AH776" s="21" t="n">
        <f aca="false">IF($AG$4=0,0,IF($AG$6=0,0,IF(INDEX($A776:$AD776,$AG$4)="",0,IF(INDEX($A776:$AD776,$AG$6)&lt;&gt;"NON-COMPLIED",0,IF(COUNTIFS(INDEX($A$3:$AD$776,0,$AG$4),INDEX($A776:$AD776,$AG$4),INDEX($A$3:$AD$776,0,$AG$6),"NON-COMPLIED")=1,1,0)))))</f>
        <v>0</v>
      </c>
    </row>
    <row r="777" customFormat="false" ht="15" hidden="false" customHeight="false" outlineLevel="0" collapsed="false">
      <c r="AH777" s="21" t="n">
        <f aca="false">IF($AG$4=0,0,IF($AG$6=0,0,IF(INDEX($A777:$AD777,$AG$4)="",0,IF(INDEX($A777:$AD777,$AG$6)&lt;&gt;"NON-COMPLIED",0,IF(COUNTIFS(INDEX($A$3:$AD$777,0,$AG$4),INDEX($A777:$AD777,$AG$4),INDEX($A$3:$AD$777,0,$AG$6),"NON-COMPLIED")=1,1,0)))))</f>
        <v>0</v>
      </c>
    </row>
    <row r="778" customFormat="false" ht="15" hidden="false" customHeight="false" outlineLevel="0" collapsed="false">
      <c r="AH778" s="21" t="n">
        <f aca="false">IF($AG$4=0,0,IF($AG$6=0,0,IF(INDEX($A778:$AD778,$AG$4)="",0,IF(INDEX($A778:$AD778,$AG$6)&lt;&gt;"NON-COMPLIED",0,IF(COUNTIFS(INDEX($A$3:$AD$778,0,$AG$4),INDEX($A778:$AD778,$AG$4),INDEX($A$3:$AD$778,0,$AG$6),"NON-COMPLIED")=1,1,0)))))</f>
        <v>0</v>
      </c>
    </row>
    <row r="779" customFormat="false" ht="15" hidden="false" customHeight="false" outlineLevel="0" collapsed="false">
      <c r="AH779" s="21" t="n">
        <f aca="false">IF($AG$4=0,0,IF($AG$6=0,0,IF(INDEX($A779:$AD779,$AG$4)="",0,IF(INDEX($A779:$AD779,$AG$6)&lt;&gt;"NON-COMPLIED",0,IF(COUNTIFS(INDEX($A$3:$AD$779,0,$AG$4),INDEX($A779:$AD779,$AG$4),INDEX($A$3:$AD$779,0,$AG$6),"NON-COMPLIED")=1,1,0)))))</f>
        <v>0</v>
      </c>
    </row>
    <row r="780" customFormat="false" ht="15" hidden="false" customHeight="false" outlineLevel="0" collapsed="false">
      <c r="AH780" s="21" t="n">
        <f aca="false">IF($AG$4=0,0,IF($AG$6=0,0,IF(INDEX($A780:$AD780,$AG$4)="",0,IF(INDEX($A780:$AD780,$AG$6)&lt;&gt;"NON-COMPLIED",0,IF(COUNTIFS(INDEX($A$3:$AD$780,0,$AG$4),INDEX($A780:$AD780,$AG$4),INDEX($A$3:$AD$780,0,$AG$6),"NON-COMPLIED")=1,1,0)))))</f>
        <v>0</v>
      </c>
    </row>
    <row r="781" customFormat="false" ht="15" hidden="false" customHeight="false" outlineLevel="0" collapsed="false">
      <c r="AH781" s="21" t="n">
        <f aca="false">IF($AG$4=0,0,IF($AG$6=0,0,IF(INDEX($A781:$AD781,$AG$4)="",0,IF(INDEX($A781:$AD781,$AG$6)&lt;&gt;"NON-COMPLIED",0,IF(COUNTIFS(INDEX($A$3:$AD$781,0,$AG$4),INDEX($A781:$AD781,$AG$4),INDEX($A$3:$AD$781,0,$AG$6),"NON-COMPLIED")=1,1,0)))))</f>
        <v>0</v>
      </c>
    </row>
    <row r="782" customFormat="false" ht="15" hidden="false" customHeight="false" outlineLevel="0" collapsed="false">
      <c r="AH782" s="21" t="n">
        <f aca="false">IF($AG$4=0,0,IF($AG$6=0,0,IF(INDEX($A782:$AD782,$AG$4)="",0,IF(INDEX($A782:$AD782,$AG$6)&lt;&gt;"NON-COMPLIED",0,IF(COUNTIFS(INDEX($A$3:$AD$782,0,$AG$4),INDEX($A782:$AD782,$AG$4),INDEX($A$3:$AD$782,0,$AG$6),"NON-COMPLIED")=1,1,0)))))</f>
        <v>0</v>
      </c>
    </row>
    <row r="783" customFormat="false" ht="15" hidden="false" customHeight="false" outlineLevel="0" collapsed="false">
      <c r="AH783" s="21" t="n">
        <f aca="false">IF($AG$4=0,0,IF($AG$6=0,0,IF(INDEX($A783:$AD783,$AG$4)="",0,IF(INDEX($A783:$AD783,$AG$6)&lt;&gt;"NON-COMPLIED",0,IF(COUNTIFS(INDEX($A$3:$AD$783,0,$AG$4),INDEX($A783:$AD783,$AG$4),INDEX($A$3:$AD$783,0,$AG$6),"NON-COMPLIED")=1,1,0)))))</f>
        <v>0</v>
      </c>
    </row>
    <row r="784" customFormat="false" ht="15" hidden="false" customHeight="false" outlineLevel="0" collapsed="false">
      <c r="AH784" s="21" t="n">
        <f aca="false">IF($AG$4=0,0,IF($AG$6=0,0,IF(INDEX($A784:$AD784,$AG$4)="",0,IF(INDEX($A784:$AD784,$AG$6)&lt;&gt;"NON-COMPLIED",0,IF(COUNTIFS(INDEX($A$3:$AD$784,0,$AG$4),INDEX($A784:$AD784,$AG$4),INDEX($A$3:$AD$784,0,$AG$6),"NON-COMPLIED")=1,1,0)))))</f>
        <v>0</v>
      </c>
    </row>
    <row r="785" customFormat="false" ht="15" hidden="false" customHeight="false" outlineLevel="0" collapsed="false">
      <c r="AH785" s="21" t="n">
        <f aca="false">IF($AG$4=0,0,IF($AG$6=0,0,IF(INDEX($A785:$AD785,$AG$4)="",0,IF(INDEX($A785:$AD785,$AG$6)&lt;&gt;"NON-COMPLIED",0,IF(COUNTIFS(INDEX($A$3:$AD$785,0,$AG$4),INDEX($A785:$AD785,$AG$4),INDEX($A$3:$AD$785,0,$AG$6),"NON-COMPLIED")=1,1,0)))))</f>
        <v>0</v>
      </c>
    </row>
    <row r="786" customFormat="false" ht="15" hidden="false" customHeight="false" outlineLevel="0" collapsed="false">
      <c r="AH786" s="21" t="n">
        <f aca="false">IF($AG$4=0,0,IF($AG$6=0,0,IF(INDEX($A786:$AD786,$AG$4)="",0,IF(INDEX($A786:$AD786,$AG$6)&lt;&gt;"NON-COMPLIED",0,IF(COUNTIFS(INDEX($A$3:$AD$786,0,$AG$4),INDEX($A786:$AD786,$AG$4),INDEX($A$3:$AD$786,0,$AG$6),"NON-COMPLIED")=1,1,0)))))</f>
        <v>0</v>
      </c>
    </row>
    <row r="787" customFormat="false" ht="15" hidden="false" customHeight="false" outlineLevel="0" collapsed="false">
      <c r="AH787" s="21" t="n">
        <f aca="false">IF($AG$4=0,0,IF($AG$6=0,0,IF(INDEX($A787:$AD787,$AG$4)="",0,IF(INDEX($A787:$AD787,$AG$6)&lt;&gt;"NON-COMPLIED",0,IF(COUNTIFS(INDEX($A$3:$AD$787,0,$AG$4),INDEX($A787:$AD787,$AG$4),INDEX($A$3:$AD$787,0,$AG$6),"NON-COMPLIED")=1,1,0)))))</f>
        <v>0</v>
      </c>
    </row>
    <row r="788" customFormat="false" ht="15" hidden="false" customHeight="false" outlineLevel="0" collapsed="false">
      <c r="AH788" s="21" t="n">
        <f aca="false">IF($AG$4=0,0,IF($AG$6=0,0,IF(INDEX($A788:$AD788,$AG$4)="",0,IF(INDEX($A788:$AD788,$AG$6)&lt;&gt;"NON-COMPLIED",0,IF(COUNTIFS(INDEX($A$3:$AD$788,0,$AG$4),INDEX($A788:$AD788,$AG$4),INDEX($A$3:$AD$788,0,$AG$6),"NON-COMPLIED")=1,1,0)))))</f>
        <v>0</v>
      </c>
    </row>
    <row r="789" customFormat="false" ht="15" hidden="false" customHeight="false" outlineLevel="0" collapsed="false">
      <c r="AH789" s="21" t="n">
        <f aca="false">IF($AG$4=0,0,IF($AG$6=0,0,IF(INDEX($A789:$AD789,$AG$4)="",0,IF(INDEX($A789:$AD789,$AG$6)&lt;&gt;"NON-COMPLIED",0,IF(COUNTIFS(INDEX($A$3:$AD$789,0,$AG$4),INDEX($A789:$AD789,$AG$4),INDEX($A$3:$AD$789,0,$AG$6),"NON-COMPLIED")=1,1,0)))))</f>
        <v>0</v>
      </c>
    </row>
    <row r="790" customFormat="false" ht="15" hidden="false" customHeight="false" outlineLevel="0" collapsed="false">
      <c r="AH790" s="21" t="n">
        <f aca="false">IF($AG$4=0,0,IF($AG$6=0,0,IF(INDEX($A790:$AD790,$AG$4)="",0,IF(INDEX($A790:$AD790,$AG$6)&lt;&gt;"NON-COMPLIED",0,IF(COUNTIFS(INDEX($A$3:$AD$790,0,$AG$4),INDEX($A790:$AD790,$AG$4),INDEX($A$3:$AD$790,0,$AG$6),"NON-COMPLIED")=1,1,0)))))</f>
        <v>0</v>
      </c>
    </row>
    <row r="791" customFormat="false" ht="15" hidden="false" customHeight="false" outlineLevel="0" collapsed="false">
      <c r="AH791" s="21" t="n">
        <f aca="false">IF($AG$4=0,0,IF($AG$6=0,0,IF(INDEX($A791:$AD791,$AG$4)="",0,IF(INDEX($A791:$AD791,$AG$6)&lt;&gt;"NON-COMPLIED",0,IF(COUNTIFS(INDEX($A$3:$AD$791,0,$AG$4),INDEX($A791:$AD791,$AG$4),INDEX($A$3:$AD$791,0,$AG$6),"NON-COMPLIED")=1,1,0)))))</f>
        <v>0</v>
      </c>
    </row>
    <row r="792" customFormat="false" ht="15" hidden="false" customHeight="false" outlineLevel="0" collapsed="false">
      <c r="AH792" s="21" t="n">
        <f aca="false">IF($AG$4=0,0,IF($AG$6=0,0,IF(INDEX($A792:$AD792,$AG$4)="",0,IF(INDEX($A792:$AD792,$AG$6)&lt;&gt;"NON-COMPLIED",0,IF(COUNTIFS(INDEX($A$3:$AD$792,0,$AG$4),INDEX($A792:$AD792,$AG$4),INDEX($A$3:$AD$792,0,$AG$6),"NON-COMPLIED")=1,1,0)))))</f>
        <v>0</v>
      </c>
    </row>
    <row r="793" customFormat="false" ht="15" hidden="false" customHeight="false" outlineLevel="0" collapsed="false">
      <c r="AH793" s="21" t="n">
        <f aca="false">IF($AG$4=0,0,IF($AG$6=0,0,IF(INDEX($A793:$AD793,$AG$4)="",0,IF(INDEX($A793:$AD793,$AG$6)&lt;&gt;"NON-COMPLIED",0,IF(COUNTIFS(INDEX($A$3:$AD$793,0,$AG$4),INDEX($A793:$AD793,$AG$4),INDEX($A$3:$AD$793,0,$AG$6),"NON-COMPLIED")=1,1,0)))))</f>
        <v>0</v>
      </c>
    </row>
    <row r="794" customFormat="false" ht="15" hidden="false" customHeight="false" outlineLevel="0" collapsed="false">
      <c r="AH794" s="21" t="n">
        <f aca="false">IF($AG$4=0,0,IF($AG$6=0,0,IF(INDEX($A794:$AD794,$AG$4)="",0,IF(INDEX($A794:$AD794,$AG$6)&lt;&gt;"NON-COMPLIED",0,IF(COUNTIFS(INDEX($A$3:$AD$794,0,$AG$4),INDEX($A794:$AD794,$AG$4),INDEX($A$3:$AD$794,0,$AG$6),"NON-COMPLIED")=1,1,0)))))</f>
        <v>0</v>
      </c>
    </row>
    <row r="795" customFormat="false" ht="15" hidden="false" customHeight="false" outlineLevel="0" collapsed="false">
      <c r="AH795" s="21" t="n">
        <f aca="false">IF($AG$4=0,0,IF($AG$6=0,0,IF(INDEX($A795:$AD795,$AG$4)="",0,IF(INDEX($A795:$AD795,$AG$6)&lt;&gt;"NON-COMPLIED",0,IF(COUNTIFS(INDEX($A$3:$AD$795,0,$AG$4),INDEX($A795:$AD795,$AG$4),INDEX($A$3:$AD$795,0,$AG$6),"NON-COMPLIED")=1,1,0)))))</f>
        <v>0</v>
      </c>
    </row>
    <row r="796" customFormat="false" ht="15" hidden="false" customHeight="false" outlineLevel="0" collapsed="false">
      <c r="AH796" s="21" t="n">
        <f aca="false">IF($AG$4=0,0,IF($AG$6=0,0,IF(INDEX($A796:$AD796,$AG$4)="",0,IF(INDEX($A796:$AD796,$AG$6)&lt;&gt;"NON-COMPLIED",0,IF(COUNTIFS(INDEX($A$3:$AD$796,0,$AG$4),INDEX($A796:$AD796,$AG$4),INDEX($A$3:$AD$796,0,$AG$6),"NON-COMPLIED")=1,1,0)))))</f>
        <v>0</v>
      </c>
    </row>
    <row r="797" customFormat="false" ht="15" hidden="false" customHeight="false" outlineLevel="0" collapsed="false">
      <c r="AH797" s="21" t="n">
        <f aca="false">IF($AG$4=0,0,IF($AG$6=0,0,IF(INDEX($A797:$AD797,$AG$4)="",0,IF(INDEX($A797:$AD797,$AG$6)&lt;&gt;"NON-COMPLIED",0,IF(COUNTIFS(INDEX($A$3:$AD$797,0,$AG$4),INDEX($A797:$AD797,$AG$4),INDEX($A$3:$AD$797,0,$AG$6),"NON-COMPLIED")=1,1,0)))))</f>
        <v>0</v>
      </c>
    </row>
    <row r="798" customFormat="false" ht="15" hidden="false" customHeight="false" outlineLevel="0" collapsed="false">
      <c r="AH798" s="21" t="n">
        <f aca="false">IF($AG$4=0,0,IF($AG$6=0,0,IF(INDEX($A798:$AD798,$AG$4)="",0,IF(INDEX($A798:$AD798,$AG$6)&lt;&gt;"NON-COMPLIED",0,IF(COUNTIFS(INDEX($A$3:$AD$798,0,$AG$4),INDEX($A798:$AD798,$AG$4),INDEX($A$3:$AD$798,0,$AG$6),"NON-COMPLIED")=1,1,0)))))</f>
        <v>0</v>
      </c>
    </row>
    <row r="799" customFormat="false" ht="15" hidden="false" customHeight="false" outlineLevel="0" collapsed="false">
      <c r="AH799" s="21" t="n">
        <f aca="false">IF($AG$4=0,0,IF($AG$6=0,0,IF(INDEX($A799:$AD799,$AG$4)="",0,IF(INDEX($A799:$AD799,$AG$6)&lt;&gt;"NON-COMPLIED",0,IF(COUNTIFS(INDEX($A$3:$AD$799,0,$AG$4),INDEX($A799:$AD799,$AG$4),INDEX($A$3:$AD$799,0,$AG$6),"NON-COMPLIED")=1,1,0)))))</f>
        <v>0</v>
      </c>
    </row>
    <row r="800" customFormat="false" ht="15" hidden="false" customHeight="false" outlineLevel="0" collapsed="false">
      <c r="AH800" s="21" t="n">
        <f aca="false">IF($AG$4=0,0,IF($AG$6=0,0,IF(INDEX($A800:$AD800,$AG$4)="",0,IF(INDEX($A800:$AD800,$AG$6)&lt;&gt;"NON-COMPLIED",0,IF(COUNTIFS(INDEX($A$3:$AD$800,0,$AG$4),INDEX($A800:$AD800,$AG$4),INDEX($A$3:$AD$800,0,$AG$6),"NON-COMPLIED")=1,1,0)))))</f>
        <v>0</v>
      </c>
    </row>
    <row r="801" customFormat="false" ht="15" hidden="false" customHeight="false" outlineLevel="0" collapsed="false">
      <c r="AH801" s="21" t="n">
        <f aca="false">IF($AG$4=0,0,IF($AG$6=0,0,IF(INDEX($A801:$AD801,$AG$4)="",0,IF(INDEX($A801:$AD801,$AG$6)&lt;&gt;"NON-COMPLIED",0,IF(COUNTIFS(INDEX($A$3:$AD$801,0,$AG$4),INDEX($A801:$AD801,$AG$4),INDEX($A$3:$AD$801,0,$AG$6),"NON-COMPLIED")=1,1,0)))))</f>
        <v>0</v>
      </c>
    </row>
    <row r="802" customFormat="false" ht="15" hidden="false" customHeight="false" outlineLevel="0" collapsed="false">
      <c r="AH802" s="21" t="n">
        <f aca="false">IF($AG$4=0,0,IF($AG$6=0,0,IF(INDEX($A802:$AD802,$AG$4)="",0,IF(INDEX($A802:$AD802,$AG$6)&lt;&gt;"NON-COMPLIED",0,IF(COUNTIFS(INDEX($A$3:$AD$802,0,$AG$4),INDEX($A802:$AD802,$AG$4),INDEX($A$3:$AD$802,0,$AG$6),"NON-COMPLIED")=1,1,0)))))</f>
        <v>0</v>
      </c>
    </row>
    <row r="803" customFormat="false" ht="15" hidden="false" customHeight="false" outlineLevel="0" collapsed="false">
      <c r="AH803" s="21" t="n">
        <f aca="false">IF($AG$4=0,0,IF($AG$6=0,0,IF(INDEX($A803:$AD803,$AG$4)="",0,IF(INDEX($A803:$AD803,$AG$6)&lt;&gt;"NON-COMPLIED",0,IF(COUNTIFS(INDEX($A$3:$AD$803,0,$AG$4),INDEX($A803:$AD803,$AG$4),INDEX($A$3:$AD$803,0,$AG$6),"NON-COMPLIED")=1,1,0)))))</f>
        <v>0</v>
      </c>
    </row>
    <row r="804" customFormat="false" ht="15" hidden="false" customHeight="false" outlineLevel="0" collapsed="false">
      <c r="AH804" s="21" t="n">
        <f aca="false">IF($AG$4=0,0,IF($AG$6=0,0,IF(INDEX($A804:$AD804,$AG$4)="",0,IF(INDEX($A804:$AD804,$AG$6)&lt;&gt;"NON-COMPLIED",0,IF(COUNTIFS(INDEX($A$3:$AD$804,0,$AG$4),INDEX($A804:$AD804,$AG$4),INDEX($A$3:$AD$804,0,$AG$6),"NON-COMPLIED")=1,1,0)))))</f>
        <v>0</v>
      </c>
    </row>
    <row r="805" customFormat="false" ht="15" hidden="false" customHeight="false" outlineLevel="0" collapsed="false">
      <c r="AH805" s="21" t="n">
        <f aca="false">IF($AG$4=0,0,IF($AG$6=0,0,IF(INDEX($A805:$AD805,$AG$4)="",0,IF(INDEX($A805:$AD805,$AG$6)&lt;&gt;"NON-COMPLIED",0,IF(COUNTIFS(INDEX($A$3:$AD$805,0,$AG$4),INDEX($A805:$AD805,$AG$4),INDEX($A$3:$AD$805,0,$AG$6),"NON-COMPLIED")=1,1,0)))))</f>
        <v>0</v>
      </c>
    </row>
    <row r="806" customFormat="false" ht="15" hidden="false" customHeight="false" outlineLevel="0" collapsed="false">
      <c r="AH806" s="21" t="n">
        <f aca="false">IF($AG$4=0,0,IF($AG$6=0,0,IF(INDEX($A806:$AD806,$AG$4)="",0,IF(INDEX($A806:$AD806,$AG$6)&lt;&gt;"NON-COMPLIED",0,IF(COUNTIFS(INDEX($A$3:$AD$806,0,$AG$4),INDEX($A806:$AD806,$AG$4),INDEX($A$3:$AD$806,0,$AG$6),"NON-COMPLIED")=1,1,0)))))</f>
        <v>0</v>
      </c>
    </row>
    <row r="807" customFormat="false" ht="15" hidden="false" customHeight="false" outlineLevel="0" collapsed="false">
      <c r="AH807" s="21" t="n">
        <f aca="false">IF($AG$4=0,0,IF($AG$6=0,0,IF(INDEX($A807:$AD807,$AG$4)="",0,IF(INDEX($A807:$AD807,$AG$6)&lt;&gt;"NON-COMPLIED",0,IF(COUNTIFS(INDEX($A$3:$AD$807,0,$AG$4),INDEX($A807:$AD807,$AG$4),INDEX($A$3:$AD$807,0,$AG$6),"NON-COMPLIED")=1,1,0)))))</f>
        <v>0</v>
      </c>
    </row>
    <row r="808" customFormat="false" ht="15" hidden="false" customHeight="false" outlineLevel="0" collapsed="false">
      <c r="AH808" s="21" t="n">
        <f aca="false">IF($AG$4=0,0,IF($AG$6=0,0,IF(INDEX($A808:$AD808,$AG$4)="",0,IF(INDEX($A808:$AD808,$AG$6)&lt;&gt;"NON-COMPLIED",0,IF(COUNTIFS(INDEX($A$3:$AD$808,0,$AG$4),INDEX($A808:$AD808,$AG$4),INDEX($A$3:$AD$808,0,$AG$6),"NON-COMPLIED")=1,1,0)))))</f>
        <v>0</v>
      </c>
    </row>
    <row r="809" customFormat="false" ht="15" hidden="false" customHeight="false" outlineLevel="0" collapsed="false">
      <c r="AH809" s="21" t="n">
        <f aca="false">IF($AG$4=0,0,IF($AG$6=0,0,IF(INDEX($A809:$AD809,$AG$4)="",0,IF(INDEX($A809:$AD809,$AG$6)&lt;&gt;"NON-COMPLIED",0,IF(COUNTIFS(INDEX($A$3:$AD$809,0,$AG$4),INDEX($A809:$AD809,$AG$4),INDEX($A$3:$AD$809,0,$AG$6),"NON-COMPLIED")=1,1,0)))))</f>
        <v>0</v>
      </c>
    </row>
    <row r="810" customFormat="false" ht="15" hidden="false" customHeight="false" outlineLevel="0" collapsed="false">
      <c r="AH810" s="21" t="n">
        <f aca="false">IF($AG$4=0,0,IF($AG$6=0,0,IF(INDEX($A810:$AD810,$AG$4)="",0,IF(INDEX($A810:$AD810,$AG$6)&lt;&gt;"NON-COMPLIED",0,IF(COUNTIFS(INDEX($A$3:$AD$810,0,$AG$4),INDEX($A810:$AD810,$AG$4),INDEX($A$3:$AD$810,0,$AG$6),"NON-COMPLIED")=1,1,0)))))</f>
        <v>0</v>
      </c>
    </row>
    <row r="811" customFormat="false" ht="15" hidden="false" customHeight="false" outlineLevel="0" collapsed="false">
      <c r="AH811" s="21" t="n">
        <f aca="false">IF($AG$4=0,0,IF($AG$6=0,0,IF(INDEX($A811:$AD811,$AG$4)="",0,IF(INDEX($A811:$AD811,$AG$6)&lt;&gt;"NON-COMPLIED",0,IF(COUNTIFS(INDEX($A$3:$AD$811,0,$AG$4),INDEX($A811:$AD811,$AG$4),INDEX($A$3:$AD$811,0,$AG$6),"NON-COMPLIED")=1,1,0)))))</f>
        <v>0</v>
      </c>
    </row>
    <row r="812" customFormat="false" ht="15" hidden="false" customHeight="false" outlineLevel="0" collapsed="false">
      <c r="AH812" s="21" t="n">
        <f aca="false">IF($AG$4=0,0,IF($AG$6=0,0,IF(INDEX($A812:$AD812,$AG$4)="",0,IF(INDEX($A812:$AD812,$AG$6)&lt;&gt;"NON-COMPLIED",0,IF(COUNTIFS(INDEX($A$3:$AD$812,0,$AG$4),INDEX($A812:$AD812,$AG$4),INDEX($A$3:$AD$812,0,$AG$6),"NON-COMPLIED")=1,1,0)))))</f>
        <v>0</v>
      </c>
    </row>
    <row r="813" customFormat="false" ht="15" hidden="false" customHeight="false" outlineLevel="0" collapsed="false">
      <c r="AH813" s="21" t="n">
        <f aca="false">IF($AG$4=0,0,IF($AG$6=0,0,IF(INDEX($A813:$AD813,$AG$4)="",0,IF(INDEX($A813:$AD813,$AG$6)&lt;&gt;"NON-COMPLIED",0,IF(COUNTIFS(INDEX($A$3:$AD$813,0,$AG$4),INDEX($A813:$AD813,$AG$4),INDEX($A$3:$AD$813,0,$AG$6),"NON-COMPLIED")=1,1,0)))))</f>
        <v>0</v>
      </c>
    </row>
    <row r="814" customFormat="false" ht="15" hidden="false" customHeight="false" outlineLevel="0" collapsed="false">
      <c r="AH814" s="21" t="n">
        <f aca="false">IF($AG$4=0,0,IF($AG$6=0,0,IF(INDEX($A814:$AD814,$AG$4)="",0,IF(INDEX($A814:$AD814,$AG$6)&lt;&gt;"NON-COMPLIED",0,IF(COUNTIFS(INDEX($A$3:$AD$814,0,$AG$4),INDEX($A814:$AD814,$AG$4),INDEX($A$3:$AD$814,0,$AG$6),"NON-COMPLIED")=1,1,0)))))</f>
        <v>0</v>
      </c>
    </row>
    <row r="815" customFormat="false" ht="15" hidden="false" customHeight="false" outlineLevel="0" collapsed="false">
      <c r="AH815" s="21" t="n">
        <f aca="false">IF($AG$4=0,0,IF($AG$6=0,0,IF(INDEX($A815:$AD815,$AG$4)="",0,IF(INDEX($A815:$AD815,$AG$6)&lt;&gt;"NON-COMPLIED",0,IF(COUNTIFS(INDEX($A$3:$AD$815,0,$AG$4),INDEX($A815:$AD815,$AG$4),INDEX($A$3:$AD$815,0,$AG$6),"NON-COMPLIED")=1,1,0)))))</f>
        <v>0</v>
      </c>
    </row>
    <row r="816" customFormat="false" ht="15" hidden="false" customHeight="false" outlineLevel="0" collapsed="false">
      <c r="AH816" s="21" t="n">
        <f aca="false">IF($AG$4=0,0,IF($AG$6=0,0,IF(INDEX($A816:$AD816,$AG$4)="",0,IF(INDEX($A816:$AD816,$AG$6)&lt;&gt;"NON-COMPLIED",0,IF(COUNTIFS(INDEX($A$3:$AD$816,0,$AG$4),INDEX($A816:$AD816,$AG$4),INDEX($A$3:$AD$816,0,$AG$6),"NON-COMPLIED")=1,1,0)))))</f>
        <v>0</v>
      </c>
    </row>
    <row r="817" customFormat="false" ht="15" hidden="false" customHeight="false" outlineLevel="0" collapsed="false">
      <c r="AH817" s="21" t="n">
        <f aca="false">IF($AG$4=0,0,IF($AG$6=0,0,IF(INDEX($A817:$AD817,$AG$4)="",0,IF(INDEX($A817:$AD817,$AG$6)&lt;&gt;"NON-COMPLIED",0,IF(COUNTIFS(INDEX($A$3:$AD$817,0,$AG$4),INDEX($A817:$AD817,$AG$4),INDEX($A$3:$AD$817,0,$AG$6),"NON-COMPLIED")=1,1,0)))))</f>
        <v>0</v>
      </c>
    </row>
    <row r="818" customFormat="false" ht="15" hidden="false" customHeight="false" outlineLevel="0" collapsed="false">
      <c r="AH818" s="21" t="n">
        <f aca="false">IF($AG$4=0,0,IF($AG$6=0,0,IF(INDEX($A818:$AD818,$AG$4)="",0,IF(INDEX($A818:$AD818,$AG$6)&lt;&gt;"NON-COMPLIED",0,IF(COUNTIFS(INDEX($A$3:$AD$818,0,$AG$4),INDEX($A818:$AD818,$AG$4),INDEX($A$3:$AD$818,0,$AG$6),"NON-COMPLIED")=1,1,0)))))</f>
        <v>0</v>
      </c>
    </row>
    <row r="819" customFormat="false" ht="15" hidden="false" customHeight="false" outlineLevel="0" collapsed="false">
      <c r="AH819" s="21" t="n">
        <f aca="false">IF($AG$4=0,0,IF($AG$6=0,0,IF(INDEX($A819:$AD819,$AG$4)="",0,IF(INDEX($A819:$AD819,$AG$6)&lt;&gt;"NON-COMPLIED",0,IF(COUNTIFS(INDEX($A$3:$AD$819,0,$AG$4),INDEX($A819:$AD819,$AG$4),INDEX($A$3:$AD$819,0,$AG$6),"NON-COMPLIED")=1,1,0)))))</f>
        <v>0</v>
      </c>
    </row>
    <row r="820" customFormat="false" ht="15" hidden="false" customHeight="false" outlineLevel="0" collapsed="false">
      <c r="AH820" s="21" t="n">
        <f aca="false">IF($AG$4=0,0,IF($AG$6=0,0,IF(INDEX($A820:$AD820,$AG$4)="",0,IF(INDEX($A820:$AD820,$AG$6)&lt;&gt;"NON-COMPLIED",0,IF(COUNTIFS(INDEX($A$3:$AD$820,0,$AG$4),INDEX($A820:$AD820,$AG$4),INDEX($A$3:$AD$820,0,$AG$6),"NON-COMPLIED")=1,1,0)))))</f>
        <v>0</v>
      </c>
    </row>
    <row r="821" customFormat="false" ht="15" hidden="false" customHeight="false" outlineLevel="0" collapsed="false">
      <c r="AH821" s="21" t="n">
        <f aca="false">IF($AG$4=0,0,IF($AG$6=0,0,IF(INDEX($A821:$AD821,$AG$4)="",0,IF(INDEX($A821:$AD821,$AG$6)&lt;&gt;"NON-COMPLIED",0,IF(COUNTIFS(INDEX($A$3:$AD$821,0,$AG$4),INDEX($A821:$AD821,$AG$4),INDEX($A$3:$AD$821,0,$AG$6),"NON-COMPLIED")=1,1,0)))))</f>
        <v>0</v>
      </c>
    </row>
    <row r="822" customFormat="false" ht="15" hidden="false" customHeight="false" outlineLevel="0" collapsed="false">
      <c r="AH822" s="21" t="n">
        <f aca="false">IF($AG$4=0,0,IF($AG$6=0,0,IF(INDEX($A822:$AD822,$AG$4)="",0,IF(INDEX($A822:$AD822,$AG$6)&lt;&gt;"NON-COMPLIED",0,IF(COUNTIFS(INDEX($A$3:$AD$822,0,$AG$4),INDEX($A822:$AD822,$AG$4),INDEX($A$3:$AD$822,0,$AG$6),"NON-COMPLIED")=1,1,0)))))</f>
        <v>0</v>
      </c>
    </row>
    <row r="823" customFormat="false" ht="15" hidden="false" customHeight="false" outlineLevel="0" collapsed="false">
      <c r="AH823" s="21" t="n">
        <f aca="false">IF($AG$4=0,0,IF($AG$6=0,0,IF(INDEX($A823:$AD823,$AG$4)="",0,IF(INDEX($A823:$AD823,$AG$6)&lt;&gt;"NON-COMPLIED",0,IF(COUNTIFS(INDEX($A$3:$AD$823,0,$AG$4),INDEX($A823:$AD823,$AG$4),INDEX($A$3:$AD$823,0,$AG$6),"NON-COMPLIED")=1,1,0)))))</f>
        <v>0</v>
      </c>
    </row>
    <row r="824" customFormat="false" ht="15" hidden="false" customHeight="false" outlineLevel="0" collapsed="false">
      <c r="AH824" s="21" t="n">
        <f aca="false">IF($AG$4=0,0,IF($AG$6=0,0,IF(INDEX($A824:$AD824,$AG$4)="",0,IF(INDEX($A824:$AD824,$AG$6)&lt;&gt;"NON-COMPLIED",0,IF(COUNTIFS(INDEX($A$3:$AD$824,0,$AG$4),INDEX($A824:$AD824,$AG$4),INDEX($A$3:$AD$824,0,$AG$6),"NON-COMPLIED")=1,1,0)))))</f>
        <v>0</v>
      </c>
    </row>
    <row r="825" customFormat="false" ht="15" hidden="false" customHeight="false" outlineLevel="0" collapsed="false">
      <c r="AH825" s="21" t="n">
        <f aca="false">IF($AG$4=0,0,IF($AG$6=0,0,IF(INDEX($A825:$AD825,$AG$4)="",0,IF(INDEX($A825:$AD825,$AG$6)&lt;&gt;"NON-COMPLIED",0,IF(COUNTIFS(INDEX($A$3:$AD$825,0,$AG$4),INDEX($A825:$AD825,$AG$4),INDEX($A$3:$AD$825,0,$AG$6),"NON-COMPLIED")=1,1,0)))))</f>
        <v>0</v>
      </c>
    </row>
    <row r="826" customFormat="false" ht="15" hidden="false" customHeight="false" outlineLevel="0" collapsed="false">
      <c r="AH826" s="21" t="n">
        <f aca="false">IF($AG$4=0,0,IF($AG$6=0,0,IF(INDEX($A826:$AD826,$AG$4)="",0,IF(INDEX($A826:$AD826,$AG$6)&lt;&gt;"NON-COMPLIED",0,IF(COUNTIFS(INDEX($A$3:$AD$826,0,$AG$4),INDEX($A826:$AD826,$AG$4),INDEX($A$3:$AD$826,0,$AG$6),"NON-COMPLIED")=1,1,0)))))</f>
        <v>0</v>
      </c>
    </row>
    <row r="827" customFormat="false" ht="15" hidden="false" customHeight="false" outlineLevel="0" collapsed="false">
      <c r="AH827" s="21" t="n">
        <f aca="false">IF($AG$4=0,0,IF($AG$6=0,0,IF(INDEX($A827:$AD827,$AG$4)="",0,IF(INDEX($A827:$AD827,$AG$6)&lt;&gt;"NON-COMPLIED",0,IF(COUNTIFS(INDEX($A$3:$AD$827,0,$AG$4),INDEX($A827:$AD827,$AG$4),INDEX($A$3:$AD$827,0,$AG$6),"NON-COMPLIED")=1,1,0)))))</f>
        <v>0</v>
      </c>
    </row>
    <row r="828" customFormat="false" ht="15" hidden="false" customHeight="false" outlineLevel="0" collapsed="false">
      <c r="AH828" s="21" t="n">
        <f aca="false">IF($AG$4=0,0,IF($AG$6=0,0,IF(INDEX($A828:$AD828,$AG$4)="",0,IF(INDEX($A828:$AD828,$AG$6)&lt;&gt;"NON-COMPLIED",0,IF(COUNTIFS(INDEX($A$3:$AD$828,0,$AG$4),INDEX($A828:$AD828,$AG$4),INDEX($A$3:$AD$828,0,$AG$6),"NON-COMPLIED")=1,1,0)))))</f>
        <v>0</v>
      </c>
    </row>
    <row r="829" customFormat="false" ht="15" hidden="false" customHeight="false" outlineLevel="0" collapsed="false">
      <c r="AH829" s="21" t="n">
        <f aca="false">IF($AG$4=0,0,IF($AG$6=0,0,IF(INDEX($A829:$AD829,$AG$4)="",0,IF(INDEX($A829:$AD829,$AG$6)&lt;&gt;"NON-COMPLIED",0,IF(COUNTIFS(INDEX($A$3:$AD$829,0,$AG$4),INDEX($A829:$AD829,$AG$4),INDEX($A$3:$AD$829,0,$AG$6),"NON-COMPLIED")=1,1,0)))))</f>
        <v>0</v>
      </c>
    </row>
    <row r="830" customFormat="false" ht="15" hidden="false" customHeight="false" outlineLevel="0" collapsed="false">
      <c r="AH830" s="21" t="n">
        <f aca="false">IF($AG$4=0,0,IF($AG$6=0,0,IF(INDEX($A830:$AD830,$AG$4)="",0,IF(INDEX($A830:$AD830,$AG$6)&lt;&gt;"NON-COMPLIED",0,IF(COUNTIFS(INDEX($A$3:$AD$830,0,$AG$4),INDEX($A830:$AD830,$AG$4),INDEX($A$3:$AD$830,0,$AG$6),"NON-COMPLIED")=1,1,0)))))</f>
        <v>0</v>
      </c>
    </row>
    <row r="831" customFormat="false" ht="15" hidden="false" customHeight="false" outlineLevel="0" collapsed="false">
      <c r="AH831" s="21" t="n">
        <f aca="false">IF($AG$4=0,0,IF($AG$6=0,0,IF(INDEX($A831:$AD831,$AG$4)="",0,IF(INDEX($A831:$AD831,$AG$6)&lt;&gt;"NON-COMPLIED",0,IF(COUNTIFS(INDEX($A$3:$AD$831,0,$AG$4),INDEX($A831:$AD831,$AG$4),INDEX($A$3:$AD$831,0,$AG$6),"NON-COMPLIED")=1,1,0)))))</f>
        <v>0</v>
      </c>
    </row>
    <row r="832" customFormat="false" ht="15" hidden="false" customHeight="false" outlineLevel="0" collapsed="false">
      <c r="AH832" s="21" t="n">
        <f aca="false">IF($AG$4=0,0,IF($AG$6=0,0,IF(INDEX($A832:$AD832,$AG$4)="",0,IF(INDEX($A832:$AD832,$AG$6)&lt;&gt;"NON-COMPLIED",0,IF(COUNTIFS(INDEX($A$3:$AD$832,0,$AG$4),INDEX($A832:$AD832,$AG$4),INDEX($A$3:$AD$832,0,$AG$6),"NON-COMPLIED")=1,1,0)))))</f>
        <v>0</v>
      </c>
    </row>
    <row r="833" customFormat="false" ht="15" hidden="false" customHeight="false" outlineLevel="0" collapsed="false">
      <c r="AH833" s="21" t="n">
        <f aca="false">IF($AG$4=0,0,IF($AG$6=0,0,IF(INDEX($A833:$AD833,$AG$4)="",0,IF(INDEX($A833:$AD833,$AG$6)&lt;&gt;"NON-COMPLIED",0,IF(COUNTIFS(INDEX($A$3:$AD$833,0,$AG$4),INDEX($A833:$AD833,$AG$4),INDEX($A$3:$AD$833,0,$AG$6),"NON-COMPLIED")=1,1,0)))))</f>
        <v>0</v>
      </c>
    </row>
    <row r="834" customFormat="false" ht="15" hidden="false" customHeight="false" outlineLevel="0" collapsed="false">
      <c r="AH834" s="21" t="n">
        <f aca="false">IF($AG$4=0,0,IF($AG$6=0,0,IF(INDEX($A834:$AD834,$AG$4)="",0,IF(INDEX($A834:$AD834,$AG$6)&lt;&gt;"NON-COMPLIED",0,IF(COUNTIFS(INDEX($A$3:$AD$834,0,$AG$4),INDEX($A834:$AD834,$AG$4),INDEX($A$3:$AD$834,0,$AG$6),"NON-COMPLIED")=1,1,0)))))</f>
        <v>0</v>
      </c>
    </row>
    <row r="835" customFormat="false" ht="15" hidden="false" customHeight="false" outlineLevel="0" collapsed="false">
      <c r="AH835" s="21" t="n">
        <f aca="false">IF($AG$4=0,0,IF($AG$6=0,0,IF(INDEX($A835:$AD835,$AG$4)="",0,IF(INDEX($A835:$AD835,$AG$6)&lt;&gt;"NON-COMPLIED",0,IF(COUNTIFS(INDEX($A$3:$AD$835,0,$AG$4),INDEX($A835:$AD835,$AG$4),INDEX($A$3:$AD$835,0,$AG$6),"NON-COMPLIED")=1,1,0)))))</f>
        <v>0</v>
      </c>
    </row>
    <row r="836" customFormat="false" ht="15" hidden="false" customHeight="false" outlineLevel="0" collapsed="false">
      <c r="AH836" s="21" t="n">
        <f aca="false">IF($AG$4=0,0,IF($AG$6=0,0,IF(INDEX($A836:$AD836,$AG$4)="",0,IF(INDEX($A836:$AD836,$AG$6)&lt;&gt;"NON-COMPLIED",0,IF(COUNTIFS(INDEX($A$3:$AD$836,0,$AG$4),INDEX($A836:$AD836,$AG$4),INDEX($A$3:$AD$836,0,$AG$6),"NON-COMPLIED")=1,1,0)))))</f>
        <v>0</v>
      </c>
    </row>
    <row r="837" customFormat="false" ht="15" hidden="false" customHeight="false" outlineLevel="0" collapsed="false">
      <c r="AH837" s="21" t="n">
        <f aca="false">IF($AG$4=0,0,IF($AG$6=0,0,IF(INDEX($A837:$AD837,$AG$4)="",0,IF(INDEX($A837:$AD837,$AG$6)&lt;&gt;"NON-COMPLIED",0,IF(COUNTIFS(INDEX($A$3:$AD$837,0,$AG$4),INDEX($A837:$AD837,$AG$4),INDEX($A$3:$AD$837,0,$AG$6),"NON-COMPLIED")=1,1,0)))))</f>
        <v>0</v>
      </c>
    </row>
    <row r="838" customFormat="false" ht="15" hidden="false" customHeight="false" outlineLevel="0" collapsed="false">
      <c r="AH838" s="21" t="n">
        <f aca="false">IF($AG$4=0,0,IF($AG$6=0,0,IF(INDEX($A838:$AD838,$AG$4)="",0,IF(INDEX($A838:$AD838,$AG$6)&lt;&gt;"NON-COMPLIED",0,IF(COUNTIFS(INDEX($A$3:$AD$838,0,$AG$4),INDEX($A838:$AD838,$AG$4),INDEX($A$3:$AD$838,0,$AG$6),"NON-COMPLIED")=1,1,0)))))</f>
        <v>0</v>
      </c>
    </row>
    <row r="839" customFormat="false" ht="15" hidden="false" customHeight="false" outlineLevel="0" collapsed="false">
      <c r="AH839" s="21" t="n">
        <f aca="false">IF($AG$4=0,0,IF($AG$6=0,0,IF(INDEX($A839:$AD839,$AG$4)="",0,IF(INDEX($A839:$AD839,$AG$6)&lt;&gt;"NON-COMPLIED",0,IF(COUNTIFS(INDEX($A$3:$AD$839,0,$AG$4),INDEX($A839:$AD839,$AG$4),INDEX($A$3:$AD$839,0,$AG$6),"NON-COMPLIED")=1,1,0)))))</f>
        <v>0</v>
      </c>
    </row>
    <row r="840" customFormat="false" ht="15" hidden="false" customHeight="false" outlineLevel="0" collapsed="false">
      <c r="AH840" s="21" t="n">
        <f aca="false">IF($AG$4=0,0,IF($AG$6=0,0,IF(INDEX($A840:$AD840,$AG$4)="",0,IF(INDEX($A840:$AD840,$AG$6)&lt;&gt;"NON-COMPLIED",0,IF(COUNTIFS(INDEX($A$3:$AD$840,0,$AG$4),INDEX($A840:$AD840,$AG$4),INDEX($A$3:$AD$840,0,$AG$6),"NON-COMPLIED")=1,1,0)))))</f>
        <v>0</v>
      </c>
    </row>
    <row r="841" customFormat="false" ht="15" hidden="false" customHeight="false" outlineLevel="0" collapsed="false">
      <c r="AH841" s="21" t="n">
        <f aca="false">IF($AG$4=0,0,IF($AG$6=0,0,IF(INDEX($A841:$AD841,$AG$4)="",0,IF(INDEX($A841:$AD841,$AG$6)&lt;&gt;"NON-COMPLIED",0,IF(COUNTIFS(INDEX($A$3:$AD$841,0,$AG$4),INDEX($A841:$AD841,$AG$4),INDEX($A$3:$AD$841,0,$AG$6),"NON-COMPLIED")=1,1,0)))))</f>
        <v>0</v>
      </c>
    </row>
    <row r="842" customFormat="false" ht="15" hidden="false" customHeight="false" outlineLevel="0" collapsed="false">
      <c r="AH842" s="21" t="n">
        <f aca="false">IF($AG$4=0,0,IF($AG$6=0,0,IF(INDEX($A842:$AD842,$AG$4)="",0,IF(INDEX($A842:$AD842,$AG$6)&lt;&gt;"NON-COMPLIED",0,IF(COUNTIFS(INDEX($A$3:$AD$842,0,$AG$4),INDEX($A842:$AD842,$AG$4),INDEX($A$3:$AD$842,0,$AG$6),"NON-COMPLIED")=1,1,0)))))</f>
        <v>0</v>
      </c>
    </row>
    <row r="843" customFormat="false" ht="15" hidden="false" customHeight="false" outlineLevel="0" collapsed="false">
      <c r="AH843" s="21" t="n">
        <f aca="false">IF($AG$4=0,0,IF($AG$6=0,0,IF(INDEX($A843:$AD843,$AG$4)="",0,IF(INDEX($A843:$AD843,$AG$6)&lt;&gt;"NON-COMPLIED",0,IF(COUNTIFS(INDEX($A$3:$AD$843,0,$AG$4),INDEX($A843:$AD843,$AG$4),INDEX($A$3:$AD$843,0,$AG$6),"NON-COMPLIED")=1,1,0)))))</f>
        <v>0</v>
      </c>
    </row>
    <row r="844" customFormat="false" ht="15" hidden="false" customHeight="false" outlineLevel="0" collapsed="false">
      <c r="AH844" s="21" t="n">
        <f aca="false">IF($AG$4=0,0,IF($AG$6=0,0,IF(INDEX($A844:$AD844,$AG$4)="",0,IF(INDEX($A844:$AD844,$AG$6)&lt;&gt;"NON-COMPLIED",0,IF(COUNTIFS(INDEX($A$3:$AD$844,0,$AG$4),INDEX($A844:$AD844,$AG$4),INDEX($A$3:$AD$844,0,$AG$6),"NON-COMPLIED")=1,1,0)))))</f>
        <v>0</v>
      </c>
    </row>
    <row r="845" customFormat="false" ht="15" hidden="false" customHeight="false" outlineLevel="0" collapsed="false">
      <c r="AH845" s="21" t="n">
        <f aca="false">IF($AG$4=0,0,IF($AG$6=0,0,IF(INDEX($A845:$AD845,$AG$4)="",0,IF(INDEX($A845:$AD845,$AG$6)&lt;&gt;"NON-COMPLIED",0,IF(COUNTIFS(INDEX($A$3:$AD$845,0,$AG$4),INDEX($A845:$AD845,$AG$4),INDEX($A$3:$AD$845,0,$AG$6),"NON-COMPLIED")=1,1,0)))))</f>
        <v>0</v>
      </c>
    </row>
    <row r="846" customFormat="false" ht="15" hidden="false" customHeight="false" outlineLevel="0" collapsed="false">
      <c r="AH846" s="21" t="n">
        <f aca="false">IF($AG$4=0,0,IF($AG$6=0,0,IF(INDEX($A846:$AD846,$AG$4)="",0,IF(INDEX($A846:$AD846,$AG$6)&lt;&gt;"NON-COMPLIED",0,IF(COUNTIFS(INDEX($A$3:$AD$846,0,$AG$4),INDEX($A846:$AD846,$AG$4),INDEX($A$3:$AD$846,0,$AG$6),"NON-COMPLIED")=1,1,0)))))</f>
        <v>0</v>
      </c>
    </row>
    <row r="847" customFormat="false" ht="15" hidden="false" customHeight="false" outlineLevel="0" collapsed="false">
      <c r="AH847" s="21" t="n">
        <f aca="false">IF($AG$4=0,0,IF($AG$6=0,0,IF(INDEX($A847:$AD847,$AG$4)="",0,IF(INDEX($A847:$AD847,$AG$6)&lt;&gt;"NON-COMPLIED",0,IF(COUNTIFS(INDEX($A$3:$AD$847,0,$AG$4),INDEX($A847:$AD847,$AG$4),INDEX($A$3:$AD$847,0,$AG$6),"NON-COMPLIED")=1,1,0)))))</f>
        <v>0</v>
      </c>
    </row>
    <row r="848" customFormat="false" ht="15" hidden="false" customHeight="false" outlineLevel="0" collapsed="false">
      <c r="AH848" s="21" t="n">
        <f aca="false">IF($AG$4=0,0,IF($AG$6=0,0,IF(INDEX($A848:$AD848,$AG$4)="",0,IF(INDEX($A848:$AD848,$AG$6)&lt;&gt;"NON-COMPLIED",0,IF(COUNTIFS(INDEX($A$3:$AD$848,0,$AG$4),INDEX($A848:$AD848,$AG$4),INDEX($A$3:$AD$848,0,$AG$6),"NON-COMPLIED")=1,1,0)))))</f>
        <v>0</v>
      </c>
    </row>
    <row r="849" customFormat="false" ht="15" hidden="false" customHeight="false" outlineLevel="0" collapsed="false">
      <c r="AH849" s="21" t="n">
        <f aca="false">IF($AG$4=0,0,IF($AG$6=0,0,IF(INDEX($A849:$AD849,$AG$4)="",0,IF(INDEX($A849:$AD849,$AG$6)&lt;&gt;"NON-COMPLIED",0,IF(COUNTIFS(INDEX($A$3:$AD$849,0,$AG$4),INDEX($A849:$AD849,$AG$4),INDEX($A$3:$AD$849,0,$AG$6),"NON-COMPLIED")=1,1,0)))))</f>
        <v>0</v>
      </c>
    </row>
    <row r="850" customFormat="false" ht="15" hidden="false" customHeight="false" outlineLevel="0" collapsed="false">
      <c r="AH850" s="21" t="n">
        <f aca="false">IF($AG$4=0,0,IF($AG$6=0,0,IF(INDEX($A850:$AD850,$AG$4)="",0,IF(INDEX($A850:$AD850,$AG$6)&lt;&gt;"NON-COMPLIED",0,IF(COUNTIFS(INDEX($A$3:$AD$850,0,$AG$4),INDEX($A850:$AD850,$AG$4),INDEX($A$3:$AD$850,0,$AG$6),"NON-COMPLIED")=1,1,0)))))</f>
        <v>0</v>
      </c>
    </row>
    <row r="851" customFormat="false" ht="15" hidden="false" customHeight="false" outlineLevel="0" collapsed="false">
      <c r="AH851" s="21" t="n">
        <f aca="false">IF($AG$4=0,0,IF($AG$6=0,0,IF(INDEX($A851:$AD851,$AG$4)="",0,IF(INDEX($A851:$AD851,$AG$6)&lt;&gt;"NON-COMPLIED",0,IF(COUNTIFS(INDEX($A$3:$AD$851,0,$AG$4),INDEX($A851:$AD851,$AG$4),INDEX($A$3:$AD$851,0,$AG$6),"NON-COMPLIED")=1,1,0)))))</f>
        <v>0</v>
      </c>
    </row>
    <row r="852" customFormat="false" ht="15" hidden="false" customHeight="false" outlineLevel="0" collapsed="false">
      <c r="AH852" s="21" t="n">
        <f aca="false">IF($AG$4=0,0,IF($AG$6=0,0,IF(INDEX($A852:$AD852,$AG$4)="",0,IF(INDEX($A852:$AD852,$AG$6)&lt;&gt;"NON-COMPLIED",0,IF(COUNTIFS(INDEX($A$3:$AD$852,0,$AG$4),INDEX($A852:$AD852,$AG$4),INDEX($A$3:$AD$852,0,$AG$6),"NON-COMPLIED")=1,1,0)))))</f>
        <v>0</v>
      </c>
    </row>
    <row r="853" customFormat="false" ht="15" hidden="false" customHeight="false" outlineLevel="0" collapsed="false">
      <c r="AH853" s="21" t="n">
        <f aca="false">IF($AG$4=0,0,IF($AG$6=0,0,IF(INDEX($A853:$AD853,$AG$4)="",0,IF(INDEX($A853:$AD853,$AG$6)&lt;&gt;"NON-COMPLIED",0,IF(COUNTIFS(INDEX($A$3:$AD$853,0,$AG$4),INDEX($A853:$AD853,$AG$4),INDEX($A$3:$AD$853,0,$AG$6),"NON-COMPLIED")=1,1,0)))))</f>
        <v>0</v>
      </c>
    </row>
    <row r="854" customFormat="false" ht="15" hidden="false" customHeight="false" outlineLevel="0" collapsed="false">
      <c r="AH854" s="21" t="n">
        <f aca="false">IF($AG$4=0,0,IF($AG$6=0,0,IF(INDEX($A854:$AD854,$AG$4)="",0,IF(INDEX($A854:$AD854,$AG$6)&lt;&gt;"NON-COMPLIED",0,IF(COUNTIFS(INDEX($A$3:$AD$854,0,$AG$4),INDEX($A854:$AD854,$AG$4),INDEX($A$3:$AD$854,0,$AG$6),"NON-COMPLIED")=1,1,0)))))</f>
        <v>0</v>
      </c>
    </row>
    <row r="855" customFormat="false" ht="15" hidden="false" customHeight="false" outlineLevel="0" collapsed="false">
      <c r="AH855" s="21" t="n">
        <f aca="false">IF($AG$4=0,0,IF($AG$6=0,0,IF(INDEX($A855:$AD855,$AG$4)="",0,IF(INDEX($A855:$AD855,$AG$6)&lt;&gt;"NON-COMPLIED",0,IF(COUNTIFS(INDEX($A$3:$AD$855,0,$AG$4),INDEX($A855:$AD855,$AG$4),INDEX($A$3:$AD$855,0,$AG$6),"NON-COMPLIED")=1,1,0)))))</f>
        <v>0</v>
      </c>
    </row>
    <row r="856" customFormat="false" ht="15" hidden="false" customHeight="false" outlineLevel="0" collapsed="false">
      <c r="AH856" s="21" t="n">
        <f aca="false">IF($AG$4=0,0,IF($AG$6=0,0,IF(INDEX($A856:$AD856,$AG$4)="",0,IF(INDEX($A856:$AD856,$AG$6)&lt;&gt;"NON-COMPLIED",0,IF(COUNTIFS(INDEX($A$3:$AD$856,0,$AG$4),INDEX($A856:$AD856,$AG$4),INDEX($A$3:$AD$856,0,$AG$6),"NON-COMPLIED")=1,1,0)))))</f>
        <v>0</v>
      </c>
    </row>
    <row r="857" customFormat="false" ht="15" hidden="false" customHeight="false" outlineLevel="0" collapsed="false">
      <c r="AH857" s="21" t="n">
        <f aca="false">IF($AG$4=0,0,IF($AG$6=0,0,IF(INDEX($A857:$AD857,$AG$4)="",0,IF(INDEX($A857:$AD857,$AG$6)&lt;&gt;"NON-COMPLIED",0,IF(COUNTIFS(INDEX($A$3:$AD$857,0,$AG$4),INDEX($A857:$AD857,$AG$4),INDEX($A$3:$AD$857,0,$AG$6),"NON-COMPLIED")=1,1,0)))))</f>
        <v>0</v>
      </c>
    </row>
    <row r="858" customFormat="false" ht="15" hidden="false" customHeight="false" outlineLevel="0" collapsed="false">
      <c r="AH858" s="21" t="n">
        <f aca="false">IF($AG$4=0,0,IF($AG$6=0,0,IF(INDEX($A858:$AD858,$AG$4)="",0,IF(INDEX($A858:$AD858,$AG$6)&lt;&gt;"NON-COMPLIED",0,IF(COUNTIFS(INDEX($A$3:$AD$858,0,$AG$4),INDEX($A858:$AD858,$AG$4),INDEX($A$3:$AD$858,0,$AG$6),"NON-COMPLIED")=1,1,0)))))</f>
        <v>0</v>
      </c>
    </row>
    <row r="859" customFormat="false" ht="15" hidden="false" customHeight="false" outlineLevel="0" collapsed="false">
      <c r="AH859" s="21" t="n">
        <f aca="false">IF($AG$4=0,0,IF($AG$6=0,0,IF(INDEX($A859:$AD859,$AG$4)="",0,IF(INDEX($A859:$AD859,$AG$6)&lt;&gt;"NON-COMPLIED",0,IF(COUNTIFS(INDEX($A$3:$AD$859,0,$AG$4),INDEX($A859:$AD859,$AG$4),INDEX($A$3:$AD$859,0,$AG$6),"NON-COMPLIED")=1,1,0)))))</f>
        <v>0</v>
      </c>
    </row>
    <row r="860" customFormat="false" ht="15" hidden="false" customHeight="false" outlineLevel="0" collapsed="false">
      <c r="AH860" s="21" t="n">
        <f aca="false">IF($AG$4=0,0,IF($AG$6=0,0,IF(INDEX($A860:$AD860,$AG$4)="",0,IF(INDEX($A860:$AD860,$AG$6)&lt;&gt;"NON-COMPLIED",0,IF(COUNTIFS(INDEX($A$3:$AD$860,0,$AG$4),INDEX($A860:$AD860,$AG$4),INDEX($A$3:$AD$860,0,$AG$6),"NON-COMPLIED")=1,1,0)))))</f>
        <v>0</v>
      </c>
    </row>
    <row r="861" customFormat="false" ht="15" hidden="false" customHeight="false" outlineLevel="0" collapsed="false">
      <c r="AH861" s="21" t="n">
        <f aca="false">IF($AG$4=0,0,IF($AG$6=0,0,IF(INDEX($A861:$AD861,$AG$4)="",0,IF(INDEX($A861:$AD861,$AG$6)&lt;&gt;"NON-COMPLIED",0,IF(COUNTIFS(INDEX($A$3:$AD$861,0,$AG$4),INDEX($A861:$AD861,$AG$4),INDEX($A$3:$AD$861,0,$AG$6),"NON-COMPLIED")=1,1,0)))))</f>
        <v>0</v>
      </c>
    </row>
    <row r="862" customFormat="false" ht="15" hidden="false" customHeight="false" outlineLevel="0" collapsed="false">
      <c r="AH862" s="21" t="n">
        <f aca="false">IF($AG$4=0,0,IF($AG$6=0,0,IF(INDEX($A862:$AD862,$AG$4)="",0,IF(INDEX($A862:$AD862,$AG$6)&lt;&gt;"NON-COMPLIED",0,IF(COUNTIFS(INDEX($A$3:$AD$862,0,$AG$4),INDEX($A862:$AD862,$AG$4),INDEX($A$3:$AD$862,0,$AG$6),"NON-COMPLIED")=1,1,0)))))</f>
        <v>0</v>
      </c>
    </row>
    <row r="863" customFormat="false" ht="15" hidden="false" customHeight="false" outlineLevel="0" collapsed="false">
      <c r="AH863" s="21" t="n">
        <f aca="false">IF($AG$4=0,0,IF($AG$6=0,0,IF(INDEX($A863:$AD863,$AG$4)="",0,IF(INDEX($A863:$AD863,$AG$6)&lt;&gt;"NON-COMPLIED",0,IF(COUNTIFS(INDEX($A$3:$AD$863,0,$AG$4),INDEX($A863:$AD863,$AG$4),INDEX($A$3:$AD$863,0,$AG$6),"NON-COMPLIED")=1,1,0)))))</f>
        <v>0</v>
      </c>
    </row>
    <row r="864" customFormat="false" ht="15" hidden="false" customHeight="false" outlineLevel="0" collapsed="false">
      <c r="AH864" s="21" t="n">
        <f aca="false">IF($AG$4=0,0,IF($AG$6=0,0,IF(INDEX($A864:$AD864,$AG$4)="",0,IF(INDEX($A864:$AD864,$AG$6)&lt;&gt;"NON-COMPLIED",0,IF(COUNTIFS(INDEX($A$3:$AD$864,0,$AG$4),INDEX($A864:$AD864,$AG$4),INDEX($A$3:$AD$864,0,$AG$6),"NON-COMPLIED")=1,1,0)))))</f>
        <v>0</v>
      </c>
    </row>
    <row r="865" customFormat="false" ht="15" hidden="false" customHeight="false" outlineLevel="0" collapsed="false">
      <c r="AH865" s="21" t="n">
        <f aca="false">IF($AG$4=0,0,IF($AG$6=0,0,IF(INDEX($A865:$AD865,$AG$4)="",0,IF(INDEX($A865:$AD865,$AG$6)&lt;&gt;"NON-COMPLIED",0,IF(COUNTIFS(INDEX($A$3:$AD$865,0,$AG$4),INDEX($A865:$AD865,$AG$4),INDEX($A$3:$AD$865,0,$AG$6),"NON-COMPLIED")=1,1,0)))))</f>
        <v>0</v>
      </c>
    </row>
    <row r="866" customFormat="false" ht="15" hidden="false" customHeight="false" outlineLevel="0" collapsed="false">
      <c r="AH866" s="21" t="n">
        <f aca="false">IF($AG$4=0,0,IF($AG$6=0,0,IF(INDEX($A866:$AD866,$AG$4)="",0,IF(INDEX($A866:$AD866,$AG$6)&lt;&gt;"NON-COMPLIED",0,IF(COUNTIFS(INDEX($A$3:$AD$866,0,$AG$4),INDEX($A866:$AD866,$AG$4),INDEX($A$3:$AD$866,0,$AG$6),"NON-COMPLIED")=1,1,0)))))</f>
        <v>0</v>
      </c>
    </row>
    <row r="867" customFormat="false" ht="15" hidden="false" customHeight="false" outlineLevel="0" collapsed="false">
      <c r="AH867" s="21" t="n">
        <f aca="false">IF($AG$4=0,0,IF($AG$6=0,0,IF(INDEX($A867:$AD867,$AG$4)="",0,IF(INDEX($A867:$AD867,$AG$6)&lt;&gt;"NON-COMPLIED",0,IF(COUNTIFS(INDEX($A$3:$AD$867,0,$AG$4),INDEX($A867:$AD867,$AG$4),INDEX($A$3:$AD$867,0,$AG$6),"NON-COMPLIED")=1,1,0)))))</f>
        <v>0</v>
      </c>
    </row>
    <row r="868" customFormat="false" ht="15" hidden="false" customHeight="false" outlineLevel="0" collapsed="false">
      <c r="AH868" s="21" t="n">
        <f aca="false">IF($AG$4=0,0,IF($AG$6=0,0,IF(INDEX($A868:$AD868,$AG$4)="",0,IF(INDEX($A868:$AD868,$AG$6)&lt;&gt;"NON-COMPLIED",0,IF(COUNTIFS(INDEX($A$3:$AD$868,0,$AG$4),INDEX($A868:$AD868,$AG$4),INDEX($A$3:$AD$868,0,$AG$6),"NON-COMPLIED")=1,1,0)))))</f>
        <v>0</v>
      </c>
    </row>
    <row r="869" customFormat="false" ht="15" hidden="false" customHeight="false" outlineLevel="0" collapsed="false">
      <c r="AH869" s="21" t="n">
        <f aca="false">IF($AG$4=0,0,IF($AG$6=0,0,IF(INDEX($A869:$AD869,$AG$4)="",0,IF(INDEX($A869:$AD869,$AG$6)&lt;&gt;"NON-COMPLIED",0,IF(COUNTIFS(INDEX($A$3:$AD$869,0,$AG$4),INDEX($A869:$AD869,$AG$4),INDEX($A$3:$AD$869,0,$AG$6),"NON-COMPLIED")=1,1,0)))))</f>
        <v>0</v>
      </c>
    </row>
    <row r="870" customFormat="false" ht="15" hidden="false" customHeight="false" outlineLevel="0" collapsed="false">
      <c r="AH870" s="21" t="n">
        <f aca="false">IF($AG$4=0,0,IF($AG$6=0,0,IF(INDEX($A870:$AD870,$AG$4)="",0,IF(INDEX($A870:$AD870,$AG$6)&lt;&gt;"NON-COMPLIED",0,IF(COUNTIFS(INDEX($A$3:$AD$870,0,$AG$4),INDEX($A870:$AD870,$AG$4),INDEX($A$3:$AD$870,0,$AG$6),"NON-COMPLIED")=1,1,0)))))</f>
        <v>0</v>
      </c>
    </row>
    <row r="871" customFormat="false" ht="15" hidden="false" customHeight="false" outlineLevel="0" collapsed="false">
      <c r="AH871" s="21" t="n">
        <f aca="false">IF($AG$4=0,0,IF($AG$6=0,0,IF(INDEX($A871:$AD871,$AG$4)="",0,IF(INDEX($A871:$AD871,$AG$6)&lt;&gt;"NON-COMPLIED",0,IF(COUNTIFS(INDEX($A$3:$AD$871,0,$AG$4),INDEX($A871:$AD871,$AG$4),INDEX($A$3:$AD$871,0,$AG$6),"NON-COMPLIED")=1,1,0)))))</f>
        <v>0</v>
      </c>
    </row>
    <row r="872" customFormat="false" ht="15" hidden="false" customHeight="false" outlineLevel="0" collapsed="false">
      <c r="AH872" s="21" t="n">
        <f aca="false">IF($AG$4=0,0,IF($AG$6=0,0,IF(INDEX($A872:$AD872,$AG$4)="",0,IF(INDEX($A872:$AD872,$AG$6)&lt;&gt;"NON-COMPLIED",0,IF(COUNTIFS(INDEX($A$3:$AD$872,0,$AG$4),INDEX($A872:$AD872,$AG$4),INDEX($A$3:$AD$872,0,$AG$6),"NON-COMPLIED")=1,1,0)))))</f>
        <v>0</v>
      </c>
    </row>
    <row r="873" customFormat="false" ht="15" hidden="false" customHeight="false" outlineLevel="0" collapsed="false">
      <c r="AH873" s="21" t="n">
        <f aca="false">IF($AG$4=0,0,IF($AG$6=0,0,IF(INDEX($A873:$AD873,$AG$4)="",0,IF(INDEX($A873:$AD873,$AG$6)&lt;&gt;"NON-COMPLIED",0,IF(COUNTIFS(INDEX($A$3:$AD$873,0,$AG$4),INDEX($A873:$AD873,$AG$4),INDEX($A$3:$AD$873,0,$AG$6),"NON-COMPLIED")=1,1,0)))))</f>
        <v>0</v>
      </c>
    </row>
    <row r="874" customFormat="false" ht="15" hidden="false" customHeight="false" outlineLevel="0" collapsed="false">
      <c r="AH874" s="21" t="n">
        <f aca="false">IF($AG$4=0,0,IF($AG$6=0,0,IF(INDEX($A874:$AD874,$AG$4)="",0,IF(INDEX($A874:$AD874,$AG$6)&lt;&gt;"NON-COMPLIED",0,IF(COUNTIFS(INDEX($A$3:$AD$874,0,$AG$4),INDEX($A874:$AD874,$AG$4),INDEX($A$3:$AD$874,0,$AG$6),"NON-COMPLIED")=1,1,0)))))</f>
        <v>0</v>
      </c>
    </row>
    <row r="875" customFormat="false" ht="15" hidden="false" customHeight="false" outlineLevel="0" collapsed="false">
      <c r="AH875" s="21" t="n">
        <f aca="false">IF($AG$4=0,0,IF($AG$6=0,0,IF(INDEX($A875:$AD875,$AG$4)="",0,IF(INDEX($A875:$AD875,$AG$6)&lt;&gt;"NON-COMPLIED",0,IF(COUNTIFS(INDEX($A$3:$AD$875,0,$AG$4),INDEX($A875:$AD875,$AG$4),INDEX($A$3:$AD$875,0,$AG$6),"NON-COMPLIED")=1,1,0)))))</f>
        <v>0</v>
      </c>
    </row>
    <row r="876" customFormat="false" ht="15" hidden="false" customHeight="false" outlineLevel="0" collapsed="false">
      <c r="AH876" s="21" t="n">
        <f aca="false">IF($AG$4=0,0,IF($AG$6=0,0,IF(INDEX($A876:$AD876,$AG$4)="",0,IF(INDEX($A876:$AD876,$AG$6)&lt;&gt;"NON-COMPLIED",0,IF(COUNTIFS(INDEX($A$3:$AD$876,0,$AG$4),INDEX($A876:$AD876,$AG$4),INDEX($A$3:$AD$876,0,$AG$6),"NON-COMPLIED")=1,1,0)))))</f>
        <v>0</v>
      </c>
    </row>
    <row r="877" customFormat="false" ht="15" hidden="false" customHeight="false" outlineLevel="0" collapsed="false">
      <c r="AH877" s="21" t="n">
        <f aca="false">IF($AG$4=0,0,IF($AG$6=0,0,IF(INDEX($A877:$AD877,$AG$4)="",0,IF(INDEX($A877:$AD877,$AG$6)&lt;&gt;"NON-COMPLIED",0,IF(COUNTIFS(INDEX($A$3:$AD$877,0,$AG$4),INDEX($A877:$AD877,$AG$4),INDEX($A$3:$AD$877,0,$AG$6),"NON-COMPLIED")=1,1,0)))))</f>
        <v>0</v>
      </c>
    </row>
    <row r="878" customFormat="false" ht="15" hidden="false" customHeight="false" outlineLevel="0" collapsed="false">
      <c r="AH878" s="21" t="n">
        <f aca="false">IF($AG$4=0,0,IF($AG$6=0,0,IF(INDEX($A878:$AD878,$AG$4)="",0,IF(INDEX($A878:$AD878,$AG$6)&lt;&gt;"NON-COMPLIED",0,IF(COUNTIFS(INDEX($A$3:$AD$878,0,$AG$4),INDEX($A878:$AD878,$AG$4),INDEX($A$3:$AD$878,0,$AG$6),"NON-COMPLIED")=1,1,0)))))</f>
        <v>0</v>
      </c>
    </row>
    <row r="879" customFormat="false" ht="15" hidden="false" customHeight="false" outlineLevel="0" collapsed="false">
      <c r="AH879" s="21" t="n">
        <f aca="false">IF($AG$4=0,0,IF($AG$6=0,0,IF(INDEX($A879:$AD879,$AG$4)="",0,IF(INDEX($A879:$AD879,$AG$6)&lt;&gt;"NON-COMPLIED",0,IF(COUNTIFS(INDEX($A$3:$AD$879,0,$AG$4),INDEX($A879:$AD879,$AG$4),INDEX($A$3:$AD$879,0,$AG$6),"NON-COMPLIED")=1,1,0)))))</f>
        <v>0</v>
      </c>
    </row>
    <row r="880" customFormat="false" ht="15" hidden="false" customHeight="false" outlineLevel="0" collapsed="false">
      <c r="AH880" s="21" t="n">
        <f aca="false">IF($AG$4=0,0,IF($AG$6=0,0,IF(INDEX($A880:$AD880,$AG$4)="",0,IF(INDEX($A880:$AD880,$AG$6)&lt;&gt;"NON-COMPLIED",0,IF(COUNTIFS(INDEX($A$3:$AD$880,0,$AG$4),INDEX($A880:$AD880,$AG$4),INDEX($A$3:$AD$880,0,$AG$6),"NON-COMPLIED")=1,1,0)))))</f>
        <v>0</v>
      </c>
    </row>
    <row r="881" customFormat="false" ht="15" hidden="false" customHeight="false" outlineLevel="0" collapsed="false">
      <c r="AH881" s="21" t="n">
        <f aca="false">IF($AG$4=0,0,IF($AG$6=0,0,IF(INDEX($A881:$AD881,$AG$4)="",0,IF(INDEX($A881:$AD881,$AG$6)&lt;&gt;"NON-COMPLIED",0,IF(COUNTIFS(INDEX($A$3:$AD$881,0,$AG$4),INDEX($A881:$AD881,$AG$4),INDEX($A$3:$AD$881,0,$AG$6),"NON-COMPLIED")=1,1,0)))))</f>
        <v>0</v>
      </c>
    </row>
    <row r="882" customFormat="false" ht="15" hidden="false" customHeight="false" outlineLevel="0" collapsed="false">
      <c r="AH882" s="21" t="n">
        <f aca="false">IF($AG$4=0,0,IF($AG$6=0,0,IF(INDEX($A882:$AD882,$AG$4)="",0,IF(INDEX($A882:$AD882,$AG$6)&lt;&gt;"NON-COMPLIED",0,IF(COUNTIFS(INDEX($A$3:$AD$882,0,$AG$4),INDEX($A882:$AD882,$AG$4),INDEX($A$3:$AD$882,0,$AG$6),"NON-COMPLIED")=1,1,0)))))</f>
        <v>0</v>
      </c>
    </row>
    <row r="883" customFormat="false" ht="15" hidden="false" customHeight="false" outlineLevel="0" collapsed="false">
      <c r="AH883" s="21" t="n">
        <f aca="false">IF($AG$4=0,0,IF($AG$6=0,0,IF(INDEX($A883:$AD883,$AG$4)="",0,IF(INDEX($A883:$AD883,$AG$6)&lt;&gt;"NON-COMPLIED",0,IF(COUNTIFS(INDEX($A$3:$AD$883,0,$AG$4),INDEX($A883:$AD883,$AG$4),INDEX($A$3:$AD$883,0,$AG$6),"NON-COMPLIED")=1,1,0)))))</f>
        <v>0</v>
      </c>
    </row>
    <row r="884" customFormat="false" ht="15" hidden="false" customHeight="false" outlineLevel="0" collapsed="false">
      <c r="AH884" s="21" t="n">
        <f aca="false">IF($AG$4=0,0,IF($AG$6=0,0,IF(INDEX($A884:$AD884,$AG$4)="",0,IF(INDEX($A884:$AD884,$AG$6)&lt;&gt;"NON-COMPLIED",0,IF(COUNTIFS(INDEX($A$3:$AD$884,0,$AG$4),INDEX($A884:$AD884,$AG$4),INDEX($A$3:$AD$884,0,$AG$6),"NON-COMPLIED")=1,1,0)))))</f>
        <v>0</v>
      </c>
    </row>
    <row r="885" customFormat="false" ht="15" hidden="false" customHeight="false" outlineLevel="0" collapsed="false">
      <c r="AH885" s="21" t="n">
        <f aca="false">IF($AG$4=0,0,IF($AG$6=0,0,IF(INDEX($A885:$AD885,$AG$4)="",0,IF(INDEX($A885:$AD885,$AG$6)&lt;&gt;"NON-COMPLIED",0,IF(COUNTIFS(INDEX($A$3:$AD$885,0,$AG$4),INDEX($A885:$AD885,$AG$4),INDEX($A$3:$AD$885,0,$AG$6),"NON-COMPLIED")=1,1,0)))))</f>
        <v>0</v>
      </c>
    </row>
    <row r="886" customFormat="false" ht="15" hidden="false" customHeight="false" outlineLevel="0" collapsed="false">
      <c r="AH886" s="21" t="n">
        <f aca="false">IF($AG$4=0,0,IF($AG$6=0,0,IF(INDEX($A886:$AD886,$AG$4)="",0,IF(INDEX($A886:$AD886,$AG$6)&lt;&gt;"NON-COMPLIED",0,IF(COUNTIFS(INDEX($A$3:$AD$886,0,$AG$4),INDEX($A886:$AD886,$AG$4),INDEX($A$3:$AD$886,0,$AG$6),"NON-COMPLIED")=1,1,0)))))</f>
        <v>0</v>
      </c>
    </row>
    <row r="887" customFormat="false" ht="15" hidden="false" customHeight="false" outlineLevel="0" collapsed="false">
      <c r="AH887" s="21" t="n">
        <f aca="false">IF($AG$4=0,0,IF($AG$6=0,0,IF(INDEX($A887:$AD887,$AG$4)="",0,IF(INDEX($A887:$AD887,$AG$6)&lt;&gt;"NON-COMPLIED",0,IF(COUNTIFS(INDEX($A$3:$AD$887,0,$AG$4),INDEX($A887:$AD887,$AG$4),INDEX($A$3:$AD$887,0,$AG$6),"NON-COMPLIED")=1,1,0)))))</f>
        <v>0</v>
      </c>
    </row>
    <row r="888" customFormat="false" ht="15" hidden="false" customHeight="false" outlineLevel="0" collapsed="false">
      <c r="AH888" s="21" t="n">
        <f aca="false">IF($AG$4=0,0,IF($AG$6=0,0,IF(INDEX($A888:$AD888,$AG$4)="",0,IF(INDEX($A888:$AD888,$AG$6)&lt;&gt;"NON-COMPLIED",0,IF(COUNTIFS(INDEX($A$3:$AD$888,0,$AG$4),INDEX($A888:$AD888,$AG$4),INDEX($A$3:$AD$888,0,$AG$6),"NON-COMPLIED")=1,1,0)))))</f>
        <v>0</v>
      </c>
    </row>
    <row r="889" customFormat="false" ht="15" hidden="false" customHeight="false" outlineLevel="0" collapsed="false">
      <c r="AH889" s="21" t="n">
        <f aca="false">IF($AG$4=0,0,IF($AG$6=0,0,IF(INDEX($A889:$AD889,$AG$4)="",0,IF(INDEX($A889:$AD889,$AG$6)&lt;&gt;"NON-COMPLIED",0,IF(COUNTIFS(INDEX($A$3:$AD$889,0,$AG$4),INDEX($A889:$AD889,$AG$4),INDEX($A$3:$AD$889,0,$AG$6),"NON-COMPLIED")=1,1,0)))))</f>
        <v>0</v>
      </c>
    </row>
    <row r="890" customFormat="false" ht="15" hidden="false" customHeight="false" outlineLevel="0" collapsed="false">
      <c r="AH890" s="21" t="n">
        <f aca="false">IF($AG$4=0,0,IF($AG$6=0,0,IF(INDEX($A890:$AD890,$AG$4)="",0,IF(INDEX($A890:$AD890,$AG$6)&lt;&gt;"NON-COMPLIED",0,IF(COUNTIFS(INDEX($A$3:$AD$890,0,$AG$4),INDEX($A890:$AD890,$AG$4),INDEX($A$3:$AD$890,0,$AG$6),"NON-COMPLIED")=1,1,0)))))</f>
        <v>0</v>
      </c>
    </row>
    <row r="891" customFormat="false" ht="15" hidden="false" customHeight="false" outlineLevel="0" collapsed="false">
      <c r="AH891" s="21" t="n">
        <f aca="false">IF($AG$4=0,0,IF($AG$6=0,0,IF(INDEX($A891:$AD891,$AG$4)="",0,IF(INDEX($A891:$AD891,$AG$6)&lt;&gt;"NON-COMPLIED",0,IF(COUNTIFS(INDEX($A$3:$AD$891,0,$AG$4),INDEX($A891:$AD891,$AG$4),INDEX($A$3:$AD$891,0,$AG$6),"NON-COMPLIED")=1,1,0)))))</f>
        <v>0</v>
      </c>
    </row>
    <row r="892" customFormat="false" ht="15" hidden="false" customHeight="false" outlineLevel="0" collapsed="false">
      <c r="AH892" s="21" t="n">
        <f aca="false">IF($AG$4=0,0,IF($AG$6=0,0,IF(INDEX($A892:$AD892,$AG$4)="",0,IF(INDEX($A892:$AD892,$AG$6)&lt;&gt;"NON-COMPLIED",0,IF(COUNTIFS(INDEX($A$3:$AD$892,0,$AG$4),INDEX($A892:$AD892,$AG$4),INDEX($A$3:$AD$892,0,$AG$6),"NON-COMPLIED")=1,1,0)))))</f>
        <v>0</v>
      </c>
    </row>
    <row r="893" customFormat="false" ht="15" hidden="false" customHeight="false" outlineLevel="0" collapsed="false">
      <c r="AH893" s="21" t="n">
        <f aca="false">IF($AG$4=0,0,IF($AG$6=0,0,IF(INDEX($A893:$AD893,$AG$4)="",0,IF(INDEX($A893:$AD893,$AG$6)&lt;&gt;"NON-COMPLIED",0,IF(COUNTIFS(INDEX($A$3:$AD$893,0,$AG$4),INDEX($A893:$AD893,$AG$4),INDEX($A$3:$AD$893,0,$AG$6),"NON-COMPLIED")=1,1,0)))))</f>
        <v>0</v>
      </c>
    </row>
    <row r="894" customFormat="false" ht="15" hidden="false" customHeight="false" outlineLevel="0" collapsed="false">
      <c r="AH894" s="21" t="n">
        <f aca="false">IF($AG$4=0,0,IF($AG$6=0,0,IF(INDEX($A894:$AD894,$AG$4)="",0,IF(INDEX($A894:$AD894,$AG$6)&lt;&gt;"NON-COMPLIED",0,IF(COUNTIFS(INDEX($A$3:$AD$894,0,$AG$4),INDEX($A894:$AD894,$AG$4),INDEX($A$3:$AD$894,0,$AG$6),"NON-COMPLIED")=1,1,0)))))</f>
        <v>0</v>
      </c>
    </row>
    <row r="895" customFormat="false" ht="15" hidden="false" customHeight="false" outlineLevel="0" collapsed="false">
      <c r="AH895" s="21" t="n">
        <f aca="false">IF($AG$4=0,0,IF($AG$6=0,0,IF(INDEX($A895:$AD895,$AG$4)="",0,IF(INDEX($A895:$AD895,$AG$6)&lt;&gt;"NON-COMPLIED",0,IF(COUNTIFS(INDEX($A$3:$AD$895,0,$AG$4),INDEX($A895:$AD895,$AG$4),INDEX($A$3:$AD$895,0,$AG$6),"NON-COMPLIED")=1,1,0)))))</f>
        <v>0</v>
      </c>
    </row>
    <row r="896" customFormat="false" ht="15" hidden="false" customHeight="false" outlineLevel="0" collapsed="false">
      <c r="AH896" s="21" t="n">
        <f aca="false">IF($AG$4=0,0,IF($AG$6=0,0,IF(INDEX($A896:$AD896,$AG$4)="",0,IF(INDEX($A896:$AD896,$AG$6)&lt;&gt;"NON-COMPLIED",0,IF(COUNTIFS(INDEX($A$3:$AD$896,0,$AG$4),INDEX($A896:$AD896,$AG$4),INDEX($A$3:$AD$896,0,$AG$6),"NON-COMPLIED")=1,1,0)))))</f>
        <v>0</v>
      </c>
    </row>
    <row r="897" customFormat="false" ht="15" hidden="false" customHeight="false" outlineLevel="0" collapsed="false">
      <c r="AH897" s="21" t="n">
        <f aca="false">IF($AG$4=0,0,IF($AG$6=0,0,IF(INDEX($A897:$AD897,$AG$4)="",0,IF(INDEX($A897:$AD897,$AG$6)&lt;&gt;"NON-COMPLIED",0,IF(COUNTIFS(INDEX($A$3:$AD$897,0,$AG$4),INDEX($A897:$AD897,$AG$4),INDEX($A$3:$AD$897,0,$AG$6),"NON-COMPLIED")=1,1,0)))))</f>
        <v>0</v>
      </c>
    </row>
    <row r="898" customFormat="false" ht="15" hidden="false" customHeight="false" outlineLevel="0" collapsed="false">
      <c r="AH898" s="21" t="n">
        <f aca="false">IF($AG$4=0,0,IF($AG$6=0,0,IF(INDEX($A898:$AD898,$AG$4)="",0,IF(INDEX($A898:$AD898,$AG$6)&lt;&gt;"NON-COMPLIED",0,IF(COUNTIFS(INDEX($A$3:$AD$898,0,$AG$4),INDEX($A898:$AD898,$AG$4),INDEX($A$3:$AD$898,0,$AG$6),"NON-COMPLIED")=1,1,0)))))</f>
        <v>0</v>
      </c>
    </row>
    <row r="899" customFormat="false" ht="15" hidden="false" customHeight="false" outlineLevel="0" collapsed="false">
      <c r="AH899" s="21" t="n">
        <f aca="false">IF($AG$4=0,0,IF($AG$6=0,0,IF(INDEX($A899:$AD899,$AG$4)="",0,IF(INDEX($A899:$AD899,$AG$6)&lt;&gt;"NON-COMPLIED",0,IF(COUNTIFS(INDEX($A$3:$AD$899,0,$AG$4),INDEX($A899:$AD899,$AG$4),INDEX($A$3:$AD$899,0,$AG$6),"NON-COMPLIED")=1,1,0)))))</f>
        <v>0</v>
      </c>
    </row>
    <row r="900" customFormat="false" ht="15" hidden="false" customHeight="false" outlineLevel="0" collapsed="false">
      <c r="AH900" s="21" t="n">
        <f aca="false">IF($AG$4=0,0,IF($AG$6=0,0,IF(INDEX($A900:$AD900,$AG$4)="",0,IF(INDEX($A900:$AD900,$AG$6)&lt;&gt;"NON-COMPLIED",0,IF(COUNTIFS(INDEX($A$3:$AD$900,0,$AG$4),INDEX($A900:$AD900,$AG$4),INDEX($A$3:$AD$900,0,$AG$6),"NON-COMPLIED")=1,1,0)))))</f>
        <v>0</v>
      </c>
    </row>
    <row r="901" customFormat="false" ht="15" hidden="false" customHeight="false" outlineLevel="0" collapsed="false">
      <c r="AH901" s="21" t="n">
        <f aca="false">IF($AG$4=0,0,IF($AG$6=0,0,IF(INDEX($A901:$AD901,$AG$4)="",0,IF(INDEX($A901:$AD901,$AG$6)&lt;&gt;"NON-COMPLIED",0,IF(COUNTIFS(INDEX($A$3:$AD$901,0,$AG$4),INDEX($A901:$AD901,$AG$4),INDEX($A$3:$AD$901,0,$AG$6),"NON-COMPLIED")=1,1,0)))))</f>
        <v>0</v>
      </c>
    </row>
    <row r="902" customFormat="false" ht="15" hidden="false" customHeight="false" outlineLevel="0" collapsed="false">
      <c r="AH902" s="21" t="n">
        <f aca="false">IF($AG$4=0,0,IF($AG$6=0,0,IF(INDEX($A902:$AD902,$AG$4)="",0,IF(INDEX($A902:$AD902,$AG$6)&lt;&gt;"NON-COMPLIED",0,IF(COUNTIFS(INDEX($A$3:$AD$902,0,$AG$4),INDEX($A902:$AD902,$AG$4),INDEX($A$3:$AD$902,0,$AG$6),"NON-COMPLIED")=1,1,0)))))</f>
        <v>0</v>
      </c>
    </row>
    <row r="903" customFormat="false" ht="15" hidden="false" customHeight="false" outlineLevel="0" collapsed="false">
      <c r="AH903" s="21" t="n">
        <f aca="false">IF($AG$4=0,0,IF($AG$6=0,0,IF(INDEX($A903:$AD903,$AG$4)="",0,IF(INDEX($A903:$AD903,$AG$6)&lt;&gt;"NON-COMPLIED",0,IF(COUNTIFS(INDEX($A$3:$AD$903,0,$AG$4),INDEX($A903:$AD903,$AG$4),INDEX($A$3:$AD$903,0,$AG$6),"NON-COMPLIED")=1,1,0)))))</f>
        <v>0</v>
      </c>
    </row>
    <row r="904" customFormat="false" ht="15" hidden="false" customHeight="false" outlineLevel="0" collapsed="false">
      <c r="AH904" s="21" t="n">
        <f aca="false">IF($AG$4=0,0,IF($AG$6=0,0,IF(INDEX($A904:$AD904,$AG$4)="",0,IF(INDEX($A904:$AD904,$AG$6)&lt;&gt;"NON-COMPLIED",0,IF(COUNTIFS(INDEX($A$3:$AD$904,0,$AG$4),INDEX($A904:$AD904,$AG$4),INDEX($A$3:$AD$904,0,$AG$6),"NON-COMPLIED")=1,1,0)))))</f>
        <v>0</v>
      </c>
    </row>
    <row r="905" customFormat="false" ht="15" hidden="false" customHeight="false" outlineLevel="0" collapsed="false">
      <c r="AH905" s="21" t="n">
        <f aca="false">IF($AG$4=0,0,IF($AG$6=0,0,IF(INDEX($A905:$AD905,$AG$4)="",0,IF(INDEX($A905:$AD905,$AG$6)&lt;&gt;"NON-COMPLIED",0,IF(COUNTIFS(INDEX($A$3:$AD$905,0,$AG$4),INDEX($A905:$AD905,$AG$4),INDEX($A$3:$AD$905,0,$AG$6),"NON-COMPLIED")=1,1,0)))))</f>
        <v>0</v>
      </c>
    </row>
    <row r="906" customFormat="false" ht="15" hidden="false" customHeight="false" outlineLevel="0" collapsed="false">
      <c r="AH906" s="21" t="n">
        <f aca="false">IF($AG$4=0,0,IF($AG$6=0,0,IF(INDEX($A906:$AD906,$AG$4)="",0,IF(INDEX($A906:$AD906,$AG$6)&lt;&gt;"NON-COMPLIED",0,IF(COUNTIFS(INDEX($A$3:$AD$906,0,$AG$4),INDEX($A906:$AD906,$AG$4),INDEX($A$3:$AD$906,0,$AG$6),"NON-COMPLIED")=1,1,0)))))</f>
        <v>0</v>
      </c>
    </row>
    <row r="907" customFormat="false" ht="15" hidden="false" customHeight="false" outlineLevel="0" collapsed="false">
      <c r="AH907" s="21" t="n">
        <f aca="false">IF($AG$4=0,0,IF($AG$6=0,0,IF(INDEX($A907:$AD907,$AG$4)="",0,IF(INDEX($A907:$AD907,$AG$6)&lt;&gt;"NON-COMPLIED",0,IF(COUNTIFS(INDEX($A$3:$AD$907,0,$AG$4),INDEX($A907:$AD907,$AG$4),INDEX($A$3:$AD$907,0,$AG$6),"NON-COMPLIED")=1,1,0)))))</f>
        <v>0</v>
      </c>
    </row>
    <row r="908" customFormat="false" ht="15" hidden="false" customHeight="false" outlineLevel="0" collapsed="false">
      <c r="AH908" s="21" t="n">
        <f aca="false">IF($AG$4=0,0,IF($AG$6=0,0,IF(INDEX($A908:$AD908,$AG$4)="",0,IF(INDEX($A908:$AD908,$AG$6)&lt;&gt;"NON-COMPLIED",0,IF(COUNTIFS(INDEX($A$3:$AD$908,0,$AG$4),INDEX($A908:$AD908,$AG$4),INDEX($A$3:$AD$908,0,$AG$6),"NON-COMPLIED")=1,1,0)))))</f>
        <v>0</v>
      </c>
    </row>
    <row r="909" customFormat="false" ht="15" hidden="false" customHeight="false" outlineLevel="0" collapsed="false">
      <c r="AH909" s="21" t="n">
        <f aca="false">IF($AG$4=0,0,IF($AG$6=0,0,IF(INDEX($A909:$AD909,$AG$4)="",0,IF(INDEX($A909:$AD909,$AG$6)&lt;&gt;"NON-COMPLIED",0,IF(COUNTIFS(INDEX($A$3:$AD$909,0,$AG$4),INDEX($A909:$AD909,$AG$4),INDEX($A$3:$AD$909,0,$AG$6),"NON-COMPLIED")=1,1,0)))))</f>
        <v>0</v>
      </c>
    </row>
    <row r="910" customFormat="false" ht="15" hidden="false" customHeight="false" outlineLevel="0" collapsed="false">
      <c r="AH910" s="21" t="n">
        <f aca="false">IF($AG$4=0,0,IF($AG$6=0,0,IF(INDEX($A910:$AD910,$AG$4)="",0,IF(INDEX($A910:$AD910,$AG$6)&lt;&gt;"NON-COMPLIED",0,IF(COUNTIFS(INDEX($A$3:$AD$910,0,$AG$4),INDEX($A910:$AD910,$AG$4),INDEX($A$3:$AD$910,0,$AG$6),"NON-COMPLIED")=1,1,0)))))</f>
        <v>0</v>
      </c>
    </row>
    <row r="911" customFormat="false" ht="15" hidden="false" customHeight="false" outlineLevel="0" collapsed="false">
      <c r="AH911" s="21" t="n">
        <f aca="false">IF($AG$4=0,0,IF($AG$6=0,0,IF(INDEX($A911:$AD911,$AG$4)="",0,IF(INDEX($A911:$AD911,$AG$6)&lt;&gt;"NON-COMPLIED",0,IF(COUNTIFS(INDEX($A$3:$AD$911,0,$AG$4),INDEX($A911:$AD911,$AG$4),INDEX($A$3:$AD$911,0,$AG$6),"NON-COMPLIED")=1,1,0)))))</f>
        <v>0</v>
      </c>
    </row>
    <row r="912" customFormat="false" ht="15" hidden="false" customHeight="false" outlineLevel="0" collapsed="false">
      <c r="AH912" s="21" t="n">
        <f aca="false">IF($AG$4=0,0,IF($AG$6=0,0,IF(INDEX($A912:$AD912,$AG$4)="",0,IF(INDEX($A912:$AD912,$AG$6)&lt;&gt;"NON-COMPLIED",0,IF(COUNTIFS(INDEX($A$3:$AD$912,0,$AG$4),INDEX($A912:$AD912,$AG$4),INDEX($A$3:$AD$912,0,$AG$6),"NON-COMPLIED")=1,1,0)))))</f>
        <v>0</v>
      </c>
    </row>
    <row r="913" customFormat="false" ht="15" hidden="false" customHeight="false" outlineLevel="0" collapsed="false">
      <c r="AH913" s="21" t="n">
        <f aca="false">IF($AG$4=0,0,IF($AG$6=0,0,IF(INDEX($A913:$AD913,$AG$4)="",0,IF(INDEX($A913:$AD913,$AG$6)&lt;&gt;"NON-COMPLIED",0,IF(COUNTIFS(INDEX($A$3:$AD$913,0,$AG$4),INDEX($A913:$AD913,$AG$4),INDEX($A$3:$AD$913,0,$AG$6),"NON-COMPLIED")=1,1,0)))))</f>
        <v>0</v>
      </c>
    </row>
    <row r="914" customFormat="false" ht="15" hidden="false" customHeight="false" outlineLevel="0" collapsed="false">
      <c r="AH914" s="21" t="n">
        <f aca="false">IF($AG$4=0,0,IF($AG$6=0,0,IF(INDEX($A914:$AD914,$AG$4)="",0,IF(INDEX($A914:$AD914,$AG$6)&lt;&gt;"NON-COMPLIED",0,IF(COUNTIFS(INDEX($A$3:$AD$914,0,$AG$4),INDEX($A914:$AD914,$AG$4),INDEX($A$3:$AD$914,0,$AG$6),"NON-COMPLIED")=1,1,0)))))</f>
        <v>0</v>
      </c>
    </row>
    <row r="915" customFormat="false" ht="15" hidden="false" customHeight="false" outlineLevel="0" collapsed="false">
      <c r="AH915" s="21" t="n">
        <f aca="false">IF($AG$4=0,0,IF($AG$6=0,0,IF(INDEX($A915:$AD915,$AG$4)="",0,IF(INDEX($A915:$AD915,$AG$6)&lt;&gt;"NON-COMPLIED",0,IF(COUNTIFS(INDEX($A$3:$AD$915,0,$AG$4),INDEX($A915:$AD915,$AG$4),INDEX($A$3:$AD$915,0,$AG$6),"NON-COMPLIED")=1,1,0)))))</f>
        <v>0</v>
      </c>
    </row>
    <row r="916" customFormat="false" ht="15" hidden="false" customHeight="false" outlineLevel="0" collapsed="false">
      <c r="AH916" s="21" t="n">
        <f aca="false">IF($AG$4=0,0,IF($AG$6=0,0,IF(INDEX($A916:$AD916,$AG$4)="",0,IF(INDEX($A916:$AD916,$AG$6)&lt;&gt;"NON-COMPLIED",0,IF(COUNTIFS(INDEX($A$3:$AD$916,0,$AG$4),INDEX($A916:$AD916,$AG$4),INDEX($A$3:$AD$916,0,$AG$6),"NON-COMPLIED")=1,1,0)))))</f>
        <v>0</v>
      </c>
    </row>
    <row r="917" customFormat="false" ht="15" hidden="false" customHeight="false" outlineLevel="0" collapsed="false">
      <c r="AH917" s="21" t="n">
        <f aca="false">IF($AG$4=0,0,IF($AG$6=0,0,IF(INDEX($A917:$AD917,$AG$4)="",0,IF(INDEX($A917:$AD917,$AG$6)&lt;&gt;"NON-COMPLIED",0,IF(COUNTIFS(INDEX($A$3:$AD$917,0,$AG$4),INDEX($A917:$AD917,$AG$4),INDEX($A$3:$AD$917,0,$AG$6),"NON-COMPLIED")=1,1,0)))))</f>
        <v>0</v>
      </c>
    </row>
    <row r="918" customFormat="false" ht="15" hidden="false" customHeight="false" outlineLevel="0" collapsed="false">
      <c r="AH918" s="21" t="n">
        <f aca="false">IF($AG$4=0,0,IF($AG$6=0,0,IF(INDEX($A918:$AD918,$AG$4)="",0,IF(INDEX($A918:$AD918,$AG$6)&lt;&gt;"NON-COMPLIED",0,IF(COUNTIFS(INDEX($A$3:$AD$918,0,$AG$4),INDEX($A918:$AD918,$AG$4),INDEX($A$3:$AD$918,0,$AG$6),"NON-COMPLIED")=1,1,0)))))</f>
        <v>0</v>
      </c>
    </row>
    <row r="919" customFormat="false" ht="15" hidden="false" customHeight="false" outlineLevel="0" collapsed="false">
      <c r="AH919" s="21" t="n">
        <f aca="false">IF($AG$4=0,0,IF($AG$6=0,0,IF(INDEX($A919:$AD919,$AG$4)="",0,IF(INDEX($A919:$AD919,$AG$6)&lt;&gt;"NON-COMPLIED",0,IF(COUNTIFS(INDEX($A$3:$AD$919,0,$AG$4),INDEX($A919:$AD919,$AG$4),INDEX($A$3:$AD$919,0,$AG$6),"NON-COMPLIED")=1,1,0)))))</f>
        <v>0</v>
      </c>
    </row>
    <row r="920" customFormat="false" ht="15" hidden="false" customHeight="false" outlineLevel="0" collapsed="false">
      <c r="AH920" s="21" t="n">
        <f aca="false">IF($AG$4=0,0,IF($AG$6=0,0,IF(INDEX($A920:$AD920,$AG$4)="",0,IF(INDEX($A920:$AD920,$AG$6)&lt;&gt;"NON-COMPLIED",0,IF(COUNTIFS(INDEX($A$3:$AD$920,0,$AG$4),INDEX($A920:$AD920,$AG$4),INDEX($A$3:$AD$920,0,$AG$6),"NON-COMPLIED")=1,1,0)))))</f>
        <v>0</v>
      </c>
    </row>
    <row r="921" customFormat="false" ht="15" hidden="false" customHeight="false" outlineLevel="0" collapsed="false">
      <c r="AH921" s="21" t="n">
        <f aca="false">IF($AG$4=0,0,IF($AG$6=0,0,IF(INDEX($A921:$AD921,$AG$4)="",0,IF(INDEX($A921:$AD921,$AG$6)&lt;&gt;"NON-COMPLIED",0,IF(COUNTIFS(INDEX($A$3:$AD$921,0,$AG$4),INDEX($A921:$AD921,$AG$4),INDEX($A$3:$AD$921,0,$AG$6),"NON-COMPLIED")=1,1,0)))))</f>
        <v>0</v>
      </c>
    </row>
    <row r="922" customFormat="false" ht="15" hidden="false" customHeight="false" outlineLevel="0" collapsed="false">
      <c r="AH922" s="21" t="n">
        <f aca="false">IF($AG$4=0,0,IF($AG$6=0,0,IF(INDEX($A922:$AD922,$AG$4)="",0,IF(INDEX($A922:$AD922,$AG$6)&lt;&gt;"NON-COMPLIED",0,IF(COUNTIFS(INDEX($A$3:$AD$922,0,$AG$4),INDEX($A922:$AD922,$AG$4),INDEX($A$3:$AD$922,0,$AG$6),"NON-COMPLIED")=1,1,0)))))</f>
        <v>0</v>
      </c>
    </row>
    <row r="923" customFormat="false" ht="15" hidden="false" customHeight="false" outlineLevel="0" collapsed="false">
      <c r="AH923" s="21" t="n">
        <f aca="false">IF($AG$4=0,0,IF($AG$6=0,0,IF(INDEX($A923:$AD923,$AG$4)="",0,IF(INDEX($A923:$AD923,$AG$6)&lt;&gt;"NON-COMPLIED",0,IF(COUNTIFS(INDEX($A$3:$AD$923,0,$AG$4),INDEX($A923:$AD923,$AG$4),INDEX($A$3:$AD$923,0,$AG$6),"NON-COMPLIED")=1,1,0)))))</f>
        <v>0</v>
      </c>
    </row>
    <row r="924" customFormat="false" ht="15" hidden="false" customHeight="false" outlineLevel="0" collapsed="false">
      <c r="AH924" s="21" t="n">
        <f aca="false">IF($AG$4=0,0,IF($AG$6=0,0,IF(INDEX($A924:$AD924,$AG$4)="",0,IF(INDEX($A924:$AD924,$AG$6)&lt;&gt;"NON-COMPLIED",0,IF(COUNTIFS(INDEX($A$3:$AD$924,0,$AG$4),INDEX($A924:$AD924,$AG$4),INDEX($A$3:$AD$924,0,$AG$6),"NON-COMPLIED")=1,1,0)))))</f>
        <v>0</v>
      </c>
    </row>
    <row r="925" customFormat="false" ht="15" hidden="false" customHeight="false" outlineLevel="0" collapsed="false">
      <c r="AH925" s="21" t="n">
        <f aca="false">IF($AG$4=0,0,IF($AG$6=0,0,IF(INDEX($A925:$AD925,$AG$4)="",0,IF(INDEX($A925:$AD925,$AG$6)&lt;&gt;"NON-COMPLIED",0,IF(COUNTIFS(INDEX($A$3:$AD$925,0,$AG$4),INDEX($A925:$AD925,$AG$4),INDEX($A$3:$AD$925,0,$AG$6),"NON-COMPLIED")=1,1,0)))))</f>
        <v>0</v>
      </c>
    </row>
    <row r="926" customFormat="false" ht="15" hidden="false" customHeight="false" outlineLevel="0" collapsed="false">
      <c r="AH926" s="21" t="n">
        <f aca="false">IF($AG$4=0,0,IF($AG$6=0,0,IF(INDEX($A926:$AD926,$AG$4)="",0,IF(INDEX($A926:$AD926,$AG$6)&lt;&gt;"NON-COMPLIED",0,IF(COUNTIFS(INDEX($A$3:$AD$926,0,$AG$4),INDEX($A926:$AD926,$AG$4),INDEX($A$3:$AD$926,0,$AG$6),"NON-COMPLIED")=1,1,0)))))</f>
        <v>0</v>
      </c>
    </row>
    <row r="927" customFormat="false" ht="15" hidden="false" customHeight="false" outlineLevel="0" collapsed="false">
      <c r="AH927" s="21" t="n">
        <f aca="false">IF($AG$4=0,0,IF($AG$6=0,0,IF(INDEX($A927:$AD927,$AG$4)="",0,IF(INDEX($A927:$AD927,$AG$6)&lt;&gt;"NON-COMPLIED",0,IF(COUNTIFS(INDEX($A$3:$AD$927,0,$AG$4),INDEX($A927:$AD927,$AG$4),INDEX($A$3:$AD$927,0,$AG$6),"NON-COMPLIED")=1,1,0)))))</f>
        <v>0</v>
      </c>
    </row>
    <row r="928" customFormat="false" ht="15" hidden="false" customHeight="false" outlineLevel="0" collapsed="false">
      <c r="AH928" s="21" t="n">
        <f aca="false">IF($AG$4=0,0,IF($AG$6=0,0,IF(INDEX($A928:$AD928,$AG$4)="",0,IF(INDEX($A928:$AD928,$AG$6)&lt;&gt;"NON-COMPLIED",0,IF(COUNTIFS(INDEX($A$3:$AD$928,0,$AG$4),INDEX($A928:$AD928,$AG$4),INDEX($A$3:$AD$928,0,$AG$6),"NON-COMPLIED")=1,1,0)))))</f>
        <v>0</v>
      </c>
    </row>
    <row r="929" customFormat="false" ht="15" hidden="false" customHeight="false" outlineLevel="0" collapsed="false">
      <c r="AH929" s="21" t="n">
        <f aca="false">IF($AG$4=0,0,IF($AG$6=0,0,IF(INDEX($A929:$AD929,$AG$4)="",0,IF(INDEX($A929:$AD929,$AG$6)&lt;&gt;"NON-COMPLIED",0,IF(COUNTIFS(INDEX($A$3:$AD$929,0,$AG$4),INDEX($A929:$AD929,$AG$4),INDEX($A$3:$AD$929,0,$AG$6),"NON-COMPLIED")=1,1,0)))))</f>
        <v>0</v>
      </c>
    </row>
    <row r="930" customFormat="false" ht="15" hidden="false" customHeight="false" outlineLevel="0" collapsed="false">
      <c r="AH930" s="21" t="n">
        <f aca="false">IF($AG$4=0,0,IF($AG$6=0,0,IF(INDEX($A930:$AD930,$AG$4)="",0,IF(INDEX($A930:$AD930,$AG$6)&lt;&gt;"NON-COMPLIED",0,IF(COUNTIFS(INDEX($A$3:$AD$930,0,$AG$4),INDEX($A930:$AD930,$AG$4),INDEX($A$3:$AD$930,0,$AG$6),"NON-COMPLIED")=1,1,0)))))</f>
        <v>0</v>
      </c>
    </row>
    <row r="931" customFormat="false" ht="15" hidden="false" customHeight="false" outlineLevel="0" collapsed="false">
      <c r="AH931" s="21" t="n">
        <f aca="false">IF($AG$4=0,0,IF($AG$6=0,0,IF(INDEX($A931:$AD931,$AG$4)="",0,IF(INDEX($A931:$AD931,$AG$6)&lt;&gt;"NON-COMPLIED",0,IF(COUNTIFS(INDEX($A$3:$AD$931,0,$AG$4),INDEX($A931:$AD931,$AG$4),INDEX($A$3:$AD$931,0,$AG$6),"NON-COMPLIED")=1,1,0)))))</f>
        <v>0</v>
      </c>
    </row>
    <row r="932" customFormat="false" ht="15" hidden="false" customHeight="false" outlineLevel="0" collapsed="false">
      <c r="AH932" s="21" t="n">
        <f aca="false">IF($AG$4=0,0,IF($AG$6=0,0,IF(INDEX($A932:$AD932,$AG$4)="",0,IF(INDEX($A932:$AD932,$AG$6)&lt;&gt;"NON-COMPLIED",0,IF(COUNTIFS(INDEX($A$3:$AD$932,0,$AG$4),INDEX($A932:$AD932,$AG$4),INDEX($A$3:$AD$932,0,$AG$6),"NON-COMPLIED")=1,1,0)))))</f>
        <v>0</v>
      </c>
    </row>
    <row r="933" customFormat="false" ht="15" hidden="false" customHeight="false" outlineLevel="0" collapsed="false">
      <c r="AH933" s="21" t="n">
        <f aca="false">IF($AG$4=0,0,IF($AG$6=0,0,IF(INDEX($A933:$AD933,$AG$4)="",0,IF(INDEX($A933:$AD933,$AG$6)&lt;&gt;"NON-COMPLIED",0,IF(COUNTIFS(INDEX($A$3:$AD$933,0,$AG$4),INDEX($A933:$AD933,$AG$4),INDEX($A$3:$AD$933,0,$AG$6),"NON-COMPLIED")=1,1,0)))))</f>
        <v>0</v>
      </c>
    </row>
    <row r="934" customFormat="false" ht="15" hidden="false" customHeight="false" outlineLevel="0" collapsed="false">
      <c r="AH934" s="21" t="n">
        <f aca="false">IF($AG$4=0,0,IF($AG$6=0,0,IF(INDEX($A934:$AD934,$AG$4)="",0,IF(INDEX($A934:$AD934,$AG$6)&lt;&gt;"NON-COMPLIED",0,IF(COUNTIFS(INDEX($A$3:$AD$934,0,$AG$4),INDEX($A934:$AD934,$AG$4),INDEX($A$3:$AD$934,0,$AG$6),"NON-COMPLIED")=1,1,0)))))</f>
        <v>0</v>
      </c>
    </row>
    <row r="935" customFormat="false" ht="15" hidden="false" customHeight="false" outlineLevel="0" collapsed="false">
      <c r="AH935" s="21" t="n">
        <f aca="false">IF($AG$4=0,0,IF($AG$6=0,0,IF(INDEX($A935:$AD935,$AG$4)="",0,IF(INDEX($A935:$AD935,$AG$6)&lt;&gt;"NON-COMPLIED",0,IF(COUNTIFS(INDEX($A$3:$AD$935,0,$AG$4),INDEX($A935:$AD935,$AG$4),INDEX($A$3:$AD$935,0,$AG$6),"NON-COMPLIED")=1,1,0)))))</f>
        <v>0</v>
      </c>
    </row>
    <row r="936" customFormat="false" ht="15" hidden="false" customHeight="false" outlineLevel="0" collapsed="false">
      <c r="AH936" s="21" t="n">
        <f aca="false">IF($AG$4=0,0,IF($AG$6=0,0,IF(INDEX($A936:$AD936,$AG$4)="",0,IF(INDEX($A936:$AD936,$AG$6)&lt;&gt;"NON-COMPLIED",0,IF(COUNTIFS(INDEX($A$3:$AD$936,0,$AG$4),INDEX($A936:$AD936,$AG$4),INDEX($A$3:$AD$936,0,$AG$6),"NON-COMPLIED")=1,1,0)))))</f>
        <v>0</v>
      </c>
    </row>
    <row r="937" customFormat="false" ht="15" hidden="false" customHeight="false" outlineLevel="0" collapsed="false">
      <c r="AH937" s="21" t="n">
        <f aca="false">IF($AG$4=0,0,IF($AG$6=0,0,IF(INDEX($A937:$AD937,$AG$4)="",0,IF(INDEX($A937:$AD937,$AG$6)&lt;&gt;"NON-COMPLIED",0,IF(COUNTIFS(INDEX($A$3:$AD$937,0,$AG$4),INDEX($A937:$AD937,$AG$4),INDEX($A$3:$AD$937,0,$AG$6),"NON-COMPLIED")=1,1,0)))))</f>
        <v>0</v>
      </c>
    </row>
    <row r="938" customFormat="false" ht="15" hidden="false" customHeight="false" outlineLevel="0" collapsed="false">
      <c r="AH938" s="21" t="n">
        <f aca="false">IF($AG$4=0,0,IF($AG$6=0,0,IF(INDEX($A938:$AD938,$AG$4)="",0,IF(INDEX($A938:$AD938,$AG$6)&lt;&gt;"NON-COMPLIED",0,IF(COUNTIFS(INDEX($A$3:$AD$938,0,$AG$4),INDEX($A938:$AD938,$AG$4),INDEX($A$3:$AD$938,0,$AG$6),"NON-COMPLIED")=1,1,0)))))</f>
        <v>0</v>
      </c>
    </row>
    <row r="939" customFormat="false" ht="15" hidden="false" customHeight="false" outlineLevel="0" collapsed="false">
      <c r="AH939" s="21" t="n">
        <f aca="false">IF($AG$4=0,0,IF($AG$6=0,0,IF(INDEX($A939:$AD939,$AG$4)="",0,IF(INDEX($A939:$AD939,$AG$6)&lt;&gt;"NON-COMPLIED",0,IF(COUNTIFS(INDEX($A$3:$AD$939,0,$AG$4),INDEX($A939:$AD939,$AG$4),INDEX($A$3:$AD$939,0,$AG$6),"NON-COMPLIED")=1,1,0)))))</f>
        <v>0</v>
      </c>
    </row>
    <row r="940" customFormat="false" ht="15" hidden="false" customHeight="false" outlineLevel="0" collapsed="false">
      <c r="AH940" s="21" t="n">
        <f aca="false">IF($AG$4=0,0,IF($AG$6=0,0,IF(INDEX($A940:$AD940,$AG$4)="",0,IF(INDEX($A940:$AD940,$AG$6)&lt;&gt;"NON-COMPLIED",0,IF(COUNTIFS(INDEX($A$3:$AD$940,0,$AG$4),INDEX($A940:$AD940,$AG$4),INDEX($A$3:$AD$940,0,$AG$6),"NON-COMPLIED")=1,1,0)))))</f>
        <v>0</v>
      </c>
    </row>
    <row r="941" customFormat="false" ht="15" hidden="false" customHeight="false" outlineLevel="0" collapsed="false">
      <c r="AH941" s="21" t="n">
        <f aca="false">IF($AG$4=0,0,IF($AG$6=0,0,IF(INDEX($A941:$AD941,$AG$4)="",0,IF(INDEX($A941:$AD941,$AG$6)&lt;&gt;"NON-COMPLIED",0,IF(COUNTIFS(INDEX($A$3:$AD$941,0,$AG$4),INDEX($A941:$AD941,$AG$4),INDEX($A$3:$AD$941,0,$AG$6),"NON-COMPLIED")=1,1,0)))))</f>
        <v>0</v>
      </c>
    </row>
    <row r="942" customFormat="false" ht="15" hidden="false" customHeight="false" outlineLevel="0" collapsed="false">
      <c r="AH942" s="21" t="n">
        <f aca="false">IF($AG$4=0,0,IF($AG$6=0,0,IF(INDEX($A942:$AD942,$AG$4)="",0,IF(INDEX($A942:$AD942,$AG$6)&lt;&gt;"NON-COMPLIED",0,IF(COUNTIFS(INDEX($A$3:$AD$942,0,$AG$4),INDEX($A942:$AD942,$AG$4),INDEX($A$3:$AD$942,0,$AG$6),"NON-COMPLIED")=1,1,0)))))</f>
        <v>0</v>
      </c>
    </row>
    <row r="943" customFormat="false" ht="15" hidden="false" customHeight="false" outlineLevel="0" collapsed="false">
      <c r="AH943" s="21" t="n">
        <f aca="false">IF($AG$4=0,0,IF($AG$6=0,0,IF(INDEX($A943:$AD943,$AG$4)="",0,IF(INDEX($A943:$AD943,$AG$6)&lt;&gt;"NON-COMPLIED",0,IF(COUNTIFS(INDEX($A$3:$AD$943,0,$AG$4),INDEX($A943:$AD943,$AG$4),INDEX($A$3:$AD$943,0,$AG$6),"NON-COMPLIED")=1,1,0)))))</f>
        <v>0</v>
      </c>
    </row>
    <row r="944" customFormat="false" ht="15" hidden="false" customHeight="false" outlineLevel="0" collapsed="false">
      <c r="AH944" s="21" t="n">
        <f aca="false">IF($AG$4=0,0,IF($AG$6=0,0,IF(INDEX($A944:$AD944,$AG$4)="",0,IF(INDEX($A944:$AD944,$AG$6)&lt;&gt;"NON-COMPLIED",0,IF(COUNTIFS(INDEX($A$3:$AD$944,0,$AG$4),INDEX($A944:$AD944,$AG$4),INDEX($A$3:$AD$944,0,$AG$6),"NON-COMPLIED")=1,1,0)))))</f>
        <v>0</v>
      </c>
    </row>
    <row r="945" customFormat="false" ht="15" hidden="false" customHeight="false" outlineLevel="0" collapsed="false">
      <c r="AH945" s="21" t="n">
        <f aca="false">IF($AG$4=0,0,IF($AG$6=0,0,IF(INDEX($A945:$AD945,$AG$4)="",0,IF(INDEX($A945:$AD945,$AG$6)&lt;&gt;"NON-COMPLIED",0,IF(COUNTIFS(INDEX($A$3:$AD$945,0,$AG$4),INDEX($A945:$AD945,$AG$4),INDEX($A$3:$AD$945,0,$AG$6),"NON-COMPLIED")=1,1,0)))))</f>
        <v>0</v>
      </c>
    </row>
    <row r="946" customFormat="false" ht="15" hidden="false" customHeight="false" outlineLevel="0" collapsed="false">
      <c r="AH946" s="21" t="n">
        <f aca="false">IF($AG$4=0,0,IF($AG$6=0,0,IF(INDEX($A946:$AD946,$AG$4)="",0,IF(INDEX($A946:$AD946,$AG$6)&lt;&gt;"NON-COMPLIED",0,IF(COUNTIFS(INDEX($A$3:$AD$946,0,$AG$4),INDEX($A946:$AD946,$AG$4),INDEX($A$3:$AD$946,0,$AG$6),"NON-COMPLIED")=1,1,0)))))</f>
        <v>0</v>
      </c>
    </row>
    <row r="947" customFormat="false" ht="15" hidden="false" customHeight="false" outlineLevel="0" collapsed="false">
      <c r="AH947" s="21" t="n">
        <f aca="false">IF($AG$4=0,0,IF($AG$6=0,0,IF(INDEX($A947:$AD947,$AG$4)="",0,IF(INDEX($A947:$AD947,$AG$6)&lt;&gt;"NON-COMPLIED",0,IF(COUNTIFS(INDEX($A$3:$AD$947,0,$AG$4),INDEX($A947:$AD947,$AG$4),INDEX($A$3:$AD$947,0,$AG$6),"NON-COMPLIED")=1,1,0)))))</f>
        <v>0</v>
      </c>
    </row>
    <row r="948" customFormat="false" ht="15" hidden="false" customHeight="false" outlineLevel="0" collapsed="false">
      <c r="AH948" s="21" t="n">
        <f aca="false">IF($AG$4=0,0,IF($AG$6=0,0,IF(INDEX($A948:$AD948,$AG$4)="",0,IF(INDEX($A948:$AD948,$AG$6)&lt;&gt;"NON-COMPLIED",0,IF(COUNTIFS(INDEX($A$3:$AD$948,0,$AG$4),INDEX($A948:$AD948,$AG$4),INDEX($A$3:$AD$948,0,$AG$6),"NON-COMPLIED")=1,1,0)))))</f>
        <v>0</v>
      </c>
    </row>
    <row r="949" customFormat="false" ht="15" hidden="false" customHeight="false" outlineLevel="0" collapsed="false">
      <c r="AH949" s="21" t="n">
        <f aca="false">IF($AG$4=0,0,IF($AG$6=0,0,IF(INDEX($A949:$AD949,$AG$4)="",0,IF(INDEX($A949:$AD949,$AG$6)&lt;&gt;"NON-COMPLIED",0,IF(COUNTIFS(INDEX($A$3:$AD$949,0,$AG$4),INDEX($A949:$AD949,$AG$4),INDEX($A$3:$AD$949,0,$AG$6),"NON-COMPLIED")=1,1,0)))))</f>
        <v>0</v>
      </c>
    </row>
    <row r="950" customFormat="false" ht="15" hidden="false" customHeight="false" outlineLevel="0" collapsed="false">
      <c r="AH950" s="21" t="n">
        <f aca="false">IF($AG$4=0,0,IF($AG$6=0,0,IF(INDEX($A950:$AD950,$AG$4)="",0,IF(INDEX($A950:$AD950,$AG$6)&lt;&gt;"NON-COMPLIED",0,IF(COUNTIFS(INDEX($A$3:$AD$950,0,$AG$4),INDEX($A950:$AD950,$AG$4),INDEX($A$3:$AD$950,0,$AG$6),"NON-COMPLIED")=1,1,0)))))</f>
        <v>0</v>
      </c>
    </row>
    <row r="951" customFormat="false" ht="15" hidden="false" customHeight="false" outlineLevel="0" collapsed="false">
      <c r="AH951" s="21" t="n">
        <f aca="false">IF($AG$4=0,0,IF($AG$6=0,0,IF(INDEX($A951:$AD951,$AG$4)="",0,IF(INDEX($A951:$AD951,$AG$6)&lt;&gt;"NON-COMPLIED",0,IF(COUNTIFS(INDEX($A$3:$AD$951,0,$AG$4),INDEX($A951:$AD951,$AG$4),INDEX($A$3:$AD$951,0,$AG$6),"NON-COMPLIED")=1,1,0)))))</f>
        <v>0</v>
      </c>
    </row>
    <row r="952" customFormat="false" ht="15" hidden="false" customHeight="false" outlineLevel="0" collapsed="false">
      <c r="AH952" s="21" t="n">
        <f aca="false">IF($AG$4=0,0,IF($AG$6=0,0,IF(INDEX($A952:$AD952,$AG$4)="",0,IF(INDEX($A952:$AD952,$AG$6)&lt;&gt;"NON-COMPLIED",0,IF(COUNTIFS(INDEX($A$3:$AD$952,0,$AG$4),INDEX($A952:$AD952,$AG$4),INDEX($A$3:$AD$952,0,$AG$6),"NON-COMPLIED")=1,1,0)))))</f>
        <v>0</v>
      </c>
    </row>
    <row r="953" customFormat="false" ht="15" hidden="false" customHeight="false" outlineLevel="0" collapsed="false">
      <c r="AH953" s="21" t="n">
        <f aca="false">IF($AG$4=0,0,IF($AG$6=0,0,IF(INDEX($A953:$AD953,$AG$4)="",0,IF(INDEX($A953:$AD953,$AG$6)&lt;&gt;"NON-COMPLIED",0,IF(COUNTIFS(INDEX($A$3:$AD$953,0,$AG$4),INDEX($A953:$AD953,$AG$4),INDEX($A$3:$AD$953,0,$AG$6),"NON-COMPLIED")=1,1,0)))))</f>
        <v>0</v>
      </c>
    </row>
    <row r="954" customFormat="false" ht="15" hidden="false" customHeight="false" outlineLevel="0" collapsed="false">
      <c r="AH954" s="21" t="n">
        <f aca="false">IF($AG$4=0,0,IF($AG$6=0,0,IF(INDEX($A954:$AD954,$AG$4)="",0,IF(INDEX($A954:$AD954,$AG$6)&lt;&gt;"NON-COMPLIED",0,IF(COUNTIFS(INDEX($A$3:$AD$954,0,$AG$4),INDEX($A954:$AD954,$AG$4),INDEX($A$3:$AD$954,0,$AG$6),"NON-COMPLIED")=1,1,0)))))</f>
        <v>0</v>
      </c>
    </row>
    <row r="955" customFormat="false" ht="15" hidden="false" customHeight="false" outlineLevel="0" collapsed="false">
      <c r="AH955" s="21" t="n">
        <f aca="false">IF($AG$4=0,0,IF($AG$6=0,0,IF(INDEX($A955:$AD955,$AG$4)="",0,IF(INDEX($A955:$AD955,$AG$6)&lt;&gt;"NON-COMPLIED",0,IF(COUNTIFS(INDEX($A$3:$AD$955,0,$AG$4),INDEX($A955:$AD955,$AG$4),INDEX($A$3:$AD$955,0,$AG$6),"NON-COMPLIED")=1,1,0)))))</f>
        <v>0</v>
      </c>
    </row>
    <row r="956" customFormat="false" ht="15" hidden="false" customHeight="false" outlineLevel="0" collapsed="false">
      <c r="AH956" s="21" t="n">
        <f aca="false">IF($AG$4=0,0,IF($AG$6=0,0,IF(INDEX($A956:$AD956,$AG$4)="",0,IF(INDEX($A956:$AD956,$AG$6)&lt;&gt;"NON-COMPLIED",0,IF(COUNTIFS(INDEX($A$3:$AD$956,0,$AG$4),INDEX($A956:$AD956,$AG$4),INDEX($A$3:$AD$956,0,$AG$6),"NON-COMPLIED")=1,1,0)))))</f>
        <v>0</v>
      </c>
    </row>
    <row r="957" customFormat="false" ht="15" hidden="false" customHeight="false" outlineLevel="0" collapsed="false">
      <c r="AH957" s="21" t="n">
        <f aca="false">IF($AG$4=0,0,IF($AG$6=0,0,IF(INDEX($A957:$AD957,$AG$4)="",0,IF(INDEX($A957:$AD957,$AG$6)&lt;&gt;"NON-COMPLIED",0,IF(COUNTIFS(INDEX($A$3:$AD$957,0,$AG$4),INDEX($A957:$AD957,$AG$4),INDEX($A$3:$AD$957,0,$AG$6),"NON-COMPLIED")=1,1,0)))))</f>
        <v>0</v>
      </c>
    </row>
    <row r="958" customFormat="false" ht="15" hidden="false" customHeight="false" outlineLevel="0" collapsed="false">
      <c r="AH958" s="21" t="n">
        <f aca="false">IF($AG$4=0,0,IF($AG$6=0,0,IF(INDEX($A958:$AD958,$AG$4)="",0,IF(INDEX($A958:$AD958,$AG$6)&lt;&gt;"NON-COMPLIED",0,IF(COUNTIFS(INDEX($A$3:$AD$958,0,$AG$4),INDEX($A958:$AD958,$AG$4),INDEX($A$3:$AD$958,0,$AG$6),"NON-COMPLIED")=1,1,0)))))</f>
        <v>0</v>
      </c>
    </row>
    <row r="959" customFormat="false" ht="15" hidden="false" customHeight="false" outlineLevel="0" collapsed="false">
      <c r="AH959" s="21" t="n">
        <f aca="false">IF($AG$4=0,0,IF($AG$6=0,0,IF(INDEX($A959:$AD959,$AG$4)="",0,IF(INDEX($A959:$AD959,$AG$6)&lt;&gt;"NON-COMPLIED",0,IF(COUNTIFS(INDEX($A$3:$AD$959,0,$AG$4),INDEX($A959:$AD959,$AG$4),INDEX($A$3:$AD$959,0,$AG$6),"NON-COMPLIED")=1,1,0)))))</f>
        <v>0</v>
      </c>
    </row>
    <row r="960" customFormat="false" ht="15" hidden="false" customHeight="false" outlineLevel="0" collapsed="false">
      <c r="AH960" s="21" t="n">
        <f aca="false">IF($AG$4=0,0,IF($AG$6=0,0,IF(INDEX($A960:$AD960,$AG$4)="",0,IF(INDEX($A960:$AD960,$AG$6)&lt;&gt;"NON-COMPLIED",0,IF(COUNTIFS(INDEX($A$3:$AD$960,0,$AG$4),INDEX($A960:$AD960,$AG$4),INDEX($A$3:$AD$960,0,$AG$6),"NON-COMPLIED")=1,1,0)))))</f>
        <v>0</v>
      </c>
    </row>
    <row r="961" customFormat="false" ht="15" hidden="false" customHeight="false" outlineLevel="0" collapsed="false">
      <c r="AH961" s="21" t="n">
        <f aca="false">IF($AG$4=0,0,IF($AG$6=0,0,IF(INDEX($A961:$AD961,$AG$4)="",0,IF(INDEX($A961:$AD961,$AG$6)&lt;&gt;"NON-COMPLIED",0,IF(COUNTIFS(INDEX($A$3:$AD$961,0,$AG$4),INDEX($A961:$AD961,$AG$4),INDEX($A$3:$AD$961,0,$AG$6),"NON-COMPLIED")=1,1,0)))))</f>
        <v>0</v>
      </c>
    </row>
    <row r="962" customFormat="false" ht="15" hidden="false" customHeight="false" outlineLevel="0" collapsed="false">
      <c r="AH962" s="21" t="n">
        <f aca="false">IF($AG$4=0,0,IF($AG$6=0,0,IF(INDEX($A962:$AD962,$AG$4)="",0,IF(INDEX($A962:$AD962,$AG$6)&lt;&gt;"NON-COMPLIED",0,IF(COUNTIFS(INDEX($A$3:$AD$962,0,$AG$4),INDEX($A962:$AD962,$AG$4),INDEX($A$3:$AD$962,0,$AG$6),"NON-COMPLIED")=1,1,0)))))</f>
        <v>0</v>
      </c>
    </row>
    <row r="963" customFormat="false" ht="15" hidden="false" customHeight="false" outlineLevel="0" collapsed="false">
      <c r="AH963" s="21" t="n">
        <f aca="false">IF($AG$4=0,0,IF($AG$6=0,0,IF(INDEX($A963:$AD963,$AG$4)="",0,IF(INDEX($A963:$AD963,$AG$6)&lt;&gt;"NON-COMPLIED",0,IF(COUNTIFS(INDEX($A$3:$AD$963,0,$AG$4),INDEX($A963:$AD963,$AG$4),INDEX($A$3:$AD$963,0,$AG$6),"NON-COMPLIED")=1,1,0)))))</f>
        <v>0</v>
      </c>
    </row>
    <row r="964" customFormat="false" ht="15" hidden="false" customHeight="false" outlineLevel="0" collapsed="false">
      <c r="AH964" s="21" t="n">
        <f aca="false">IF($AG$4=0,0,IF($AG$6=0,0,IF(INDEX($A964:$AD964,$AG$4)="",0,IF(INDEX($A964:$AD964,$AG$6)&lt;&gt;"NON-COMPLIED",0,IF(COUNTIFS(INDEX($A$3:$AD$964,0,$AG$4),INDEX($A964:$AD964,$AG$4),INDEX($A$3:$AD$964,0,$AG$6),"NON-COMPLIED")=1,1,0)))))</f>
        <v>0</v>
      </c>
    </row>
    <row r="965" customFormat="false" ht="15" hidden="false" customHeight="false" outlineLevel="0" collapsed="false">
      <c r="AH965" s="21" t="n">
        <f aca="false">IF($AG$4=0,0,IF($AG$6=0,0,IF(INDEX($A965:$AD965,$AG$4)="",0,IF(INDEX($A965:$AD965,$AG$6)&lt;&gt;"NON-COMPLIED",0,IF(COUNTIFS(INDEX($A$3:$AD$965,0,$AG$4),INDEX($A965:$AD965,$AG$4),INDEX($A$3:$AD$965,0,$AG$6),"NON-COMPLIED")=1,1,0)))))</f>
        <v>0</v>
      </c>
    </row>
    <row r="966" customFormat="false" ht="15" hidden="false" customHeight="false" outlineLevel="0" collapsed="false">
      <c r="AH966" s="21" t="n">
        <f aca="false">IF($AG$4=0,0,IF($AG$6=0,0,IF(INDEX($A966:$AD966,$AG$4)="",0,IF(INDEX($A966:$AD966,$AG$6)&lt;&gt;"NON-COMPLIED",0,IF(COUNTIFS(INDEX($A$3:$AD$966,0,$AG$4),INDEX($A966:$AD966,$AG$4),INDEX($A$3:$AD$966,0,$AG$6),"NON-COMPLIED")=1,1,0)))))</f>
        <v>0</v>
      </c>
    </row>
    <row r="967" customFormat="false" ht="15" hidden="false" customHeight="false" outlineLevel="0" collapsed="false">
      <c r="AH967" s="21" t="n">
        <f aca="false">IF($AG$4=0,0,IF($AG$6=0,0,IF(INDEX($A967:$AD967,$AG$4)="",0,IF(INDEX($A967:$AD967,$AG$6)&lt;&gt;"NON-COMPLIED",0,IF(COUNTIFS(INDEX($A$3:$AD$967,0,$AG$4),INDEX($A967:$AD967,$AG$4),INDEX($A$3:$AD$967,0,$AG$6),"NON-COMPLIED")=1,1,0)))))</f>
        <v>0</v>
      </c>
    </row>
    <row r="968" customFormat="false" ht="15" hidden="false" customHeight="false" outlineLevel="0" collapsed="false">
      <c r="AH968" s="21" t="n">
        <f aca="false">IF($AG$4=0,0,IF($AG$6=0,0,IF(INDEX($A968:$AD968,$AG$4)="",0,IF(INDEX($A968:$AD968,$AG$6)&lt;&gt;"NON-COMPLIED",0,IF(COUNTIFS(INDEX($A$3:$AD$968,0,$AG$4),INDEX($A968:$AD968,$AG$4),INDEX($A$3:$AD$968,0,$AG$6),"NON-COMPLIED")=1,1,0)))))</f>
        <v>0</v>
      </c>
    </row>
    <row r="969" customFormat="false" ht="15" hidden="false" customHeight="false" outlineLevel="0" collapsed="false">
      <c r="AH969" s="21" t="n">
        <f aca="false">IF($AG$4=0,0,IF($AG$6=0,0,IF(INDEX($A969:$AD969,$AG$4)="",0,IF(INDEX($A969:$AD969,$AG$6)&lt;&gt;"NON-COMPLIED",0,IF(COUNTIFS(INDEX($A$3:$AD$969,0,$AG$4),INDEX($A969:$AD969,$AG$4),INDEX($A$3:$AD$969,0,$AG$6),"NON-COMPLIED")=1,1,0)))))</f>
        <v>0</v>
      </c>
    </row>
    <row r="970" customFormat="false" ht="15" hidden="false" customHeight="false" outlineLevel="0" collapsed="false">
      <c r="AH970" s="21" t="n">
        <f aca="false">IF($AG$4=0,0,IF($AG$6=0,0,IF(INDEX($A970:$AD970,$AG$4)="",0,IF(INDEX($A970:$AD970,$AG$6)&lt;&gt;"NON-COMPLIED",0,IF(COUNTIFS(INDEX($A$3:$AD$970,0,$AG$4),INDEX($A970:$AD970,$AG$4),INDEX($A$3:$AD$970,0,$AG$6),"NON-COMPLIED")=1,1,0)))))</f>
        <v>0</v>
      </c>
    </row>
    <row r="971" customFormat="false" ht="15" hidden="false" customHeight="false" outlineLevel="0" collapsed="false">
      <c r="AH971" s="21" t="n">
        <f aca="false">IF($AG$4=0,0,IF($AG$6=0,0,IF(INDEX($A971:$AD971,$AG$4)="",0,IF(INDEX($A971:$AD971,$AG$6)&lt;&gt;"NON-COMPLIED",0,IF(COUNTIFS(INDEX($A$3:$AD$971,0,$AG$4),INDEX($A971:$AD971,$AG$4),INDEX($A$3:$AD$971,0,$AG$6),"NON-COMPLIED")=1,1,0)))))</f>
        <v>0</v>
      </c>
    </row>
    <row r="972" customFormat="false" ht="15" hidden="false" customHeight="false" outlineLevel="0" collapsed="false">
      <c r="AH972" s="21" t="n">
        <f aca="false">IF($AG$4=0,0,IF($AG$6=0,0,IF(INDEX($A972:$AD972,$AG$4)="",0,IF(INDEX($A972:$AD972,$AG$6)&lt;&gt;"NON-COMPLIED",0,IF(COUNTIFS(INDEX($A$3:$AD$972,0,$AG$4),INDEX($A972:$AD972,$AG$4),INDEX($A$3:$AD$972,0,$AG$6),"NON-COMPLIED")=1,1,0)))))</f>
        <v>0</v>
      </c>
    </row>
    <row r="973" customFormat="false" ht="15" hidden="false" customHeight="false" outlineLevel="0" collapsed="false">
      <c r="AH973" s="21" t="n">
        <f aca="false">IF($AG$4=0,0,IF($AG$6=0,0,IF(INDEX($A973:$AD973,$AG$4)="",0,IF(INDEX($A973:$AD973,$AG$6)&lt;&gt;"NON-COMPLIED",0,IF(COUNTIFS(INDEX($A$3:$AD$973,0,$AG$4),INDEX($A973:$AD973,$AG$4),INDEX($A$3:$AD$973,0,$AG$6),"NON-COMPLIED")=1,1,0)))))</f>
        <v>0</v>
      </c>
    </row>
    <row r="974" customFormat="false" ht="15" hidden="false" customHeight="false" outlineLevel="0" collapsed="false">
      <c r="AH974" s="21" t="n">
        <f aca="false">IF($AG$4=0,0,IF($AG$6=0,0,IF(INDEX($A974:$AD974,$AG$4)="",0,IF(INDEX($A974:$AD974,$AG$6)&lt;&gt;"NON-COMPLIED",0,IF(COUNTIFS(INDEX($A$3:$AD$974,0,$AG$4),INDEX($A974:$AD974,$AG$4),INDEX($A$3:$AD$974,0,$AG$6),"NON-COMPLIED")=1,1,0)))))</f>
        <v>0</v>
      </c>
    </row>
    <row r="975" customFormat="false" ht="15" hidden="false" customHeight="false" outlineLevel="0" collapsed="false">
      <c r="AH975" s="21" t="n">
        <f aca="false">IF($AG$4=0,0,IF($AG$6=0,0,IF(INDEX($A975:$AD975,$AG$4)="",0,IF(INDEX($A975:$AD975,$AG$6)&lt;&gt;"NON-COMPLIED",0,IF(COUNTIFS(INDEX($A$3:$AD$975,0,$AG$4),INDEX($A975:$AD975,$AG$4),INDEX($A$3:$AD$975,0,$AG$6),"NON-COMPLIED")=1,1,0)))))</f>
        <v>0</v>
      </c>
    </row>
    <row r="976" customFormat="false" ht="15" hidden="false" customHeight="false" outlineLevel="0" collapsed="false">
      <c r="AH976" s="21" t="n">
        <f aca="false">IF($AG$4=0,0,IF($AG$6=0,0,IF(INDEX($A976:$AD976,$AG$4)="",0,IF(INDEX($A976:$AD976,$AG$6)&lt;&gt;"NON-COMPLIED",0,IF(COUNTIFS(INDEX($A$3:$AD$976,0,$AG$4),INDEX($A976:$AD976,$AG$4),INDEX($A$3:$AD$976,0,$AG$6),"NON-COMPLIED")=1,1,0)))))</f>
        <v>0</v>
      </c>
    </row>
    <row r="977" customFormat="false" ht="15" hidden="false" customHeight="false" outlineLevel="0" collapsed="false">
      <c r="AH977" s="21" t="n">
        <f aca="false">IF($AG$4=0,0,IF($AG$6=0,0,IF(INDEX($A977:$AD977,$AG$4)="",0,IF(INDEX($A977:$AD977,$AG$6)&lt;&gt;"NON-COMPLIED",0,IF(COUNTIFS(INDEX($A$3:$AD$977,0,$AG$4),INDEX($A977:$AD977,$AG$4),INDEX($A$3:$AD$977,0,$AG$6),"NON-COMPLIED")=1,1,0)))))</f>
        <v>0</v>
      </c>
    </row>
    <row r="978" customFormat="false" ht="15" hidden="false" customHeight="false" outlineLevel="0" collapsed="false">
      <c r="AH978" s="21" t="n">
        <f aca="false">IF($AG$4=0,0,IF($AG$6=0,0,IF(INDEX($A978:$AD978,$AG$4)="",0,IF(INDEX($A978:$AD978,$AG$6)&lt;&gt;"NON-COMPLIED",0,IF(COUNTIFS(INDEX($A$3:$AD$978,0,$AG$4),INDEX($A978:$AD978,$AG$4),INDEX($A$3:$AD$978,0,$AG$6),"NON-COMPLIED")=1,1,0)))))</f>
        <v>0</v>
      </c>
    </row>
    <row r="979" customFormat="false" ht="15" hidden="false" customHeight="false" outlineLevel="0" collapsed="false">
      <c r="AH979" s="21" t="n">
        <f aca="false">IF($AG$4=0,0,IF($AG$6=0,0,IF(INDEX($A979:$AD979,$AG$4)="",0,IF(INDEX($A979:$AD979,$AG$6)&lt;&gt;"NON-COMPLIED",0,IF(COUNTIFS(INDEX($A$3:$AD$979,0,$AG$4),INDEX($A979:$AD979,$AG$4),INDEX($A$3:$AD$979,0,$AG$6),"NON-COMPLIED")=1,1,0)))))</f>
        <v>0</v>
      </c>
    </row>
    <row r="980" customFormat="false" ht="15" hidden="false" customHeight="false" outlineLevel="0" collapsed="false">
      <c r="AH980" s="21" t="n">
        <f aca="false">IF($AG$4=0,0,IF($AG$6=0,0,IF(INDEX($A980:$AD980,$AG$4)="",0,IF(INDEX($A980:$AD980,$AG$6)&lt;&gt;"NON-COMPLIED",0,IF(COUNTIFS(INDEX($A$3:$AD$980,0,$AG$4),INDEX($A980:$AD980,$AG$4),INDEX($A$3:$AD$980,0,$AG$6),"NON-COMPLIED")=1,1,0)))))</f>
        <v>0</v>
      </c>
    </row>
    <row r="981" customFormat="false" ht="15" hidden="false" customHeight="false" outlineLevel="0" collapsed="false">
      <c r="AH981" s="21" t="n">
        <f aca="false">IF($AG$4=0,0,IF($AG$6=0,0,IF(INDEX($A981:$AD981,$AG$4)="",0,IF(INDEX($A981:$AD981,$AG$6)&lt;&gt;"NON-COMPLIED",0,IF(COUNTIFS(INDEX($A$3:$AD$981,0,$AG$4),INDEX($A981:$AD981,$AG$4),INDEX($A$3:$AD$981,0,$AG$6),"NON-COMPLIED")=1,1,0)))))</f>
        <v>0</v>
      </c>
    </row>
    <row r="982" customFormat="false" ht="15" hidden="false" customHeight="false" outlineLevel="0" collapsed="false">
      <c r="AH982" s="21" t="n">
        <f aca="false">IF($AG$4=0,0,IF($AG$6=0,0,IF(INDEX($A982:$AD982,$AG$4)="",0,IF(INDEX($A982:$AD982,$AG$6)&lt;&gt;"NON-COMPLIED",0,IF(COUNTIFS(INDEX($A$3:$AD$982,0,$AG$4),INDEX($A982:$AD982,$AG$4),INDEX($A$3:$AD$982,0,$AG$6),"NON-COMPLIED")=1,1,0)))))</f>
        <v>0</v>
      </c>
    </row>
    <row r="983" customFormat="false" ht="15" hidden="false" customHeight="false" outlineLevel="0" collapsed="false">
      <c r="AH983" s="21" t="n">
        <f aca="false">IF($AG$4=0,0,IF($AG$6=0,0,IF(INDEX($A983:$AD983,$AG$4)="",0,IF(INDEX($A983:$AD983,$AG$6)&lt;&gt;"NON-COMPLIED",0,IF(COUNTIFS(INDEX($A$3:$AD$983,0,$AG$4),INDEX($A983:$AD983,$AG$4),INDEX($A$3:$AD$983,0,$AG$6),"NON-COMPLIED")=1,1,0)))))</f>
        <v>0</v>
      </c>
    </row>
    <row r="984" customFormat="false" ht="15" hidden="false" customHeight="false" outlineLevel="0" collapsed="false">
      <c r="AH984" s="21" t="n">
        <f aca="false">IF($AG$4=0,0,IF($AG$6=0,0,IF(INDEX($A984:$AD984,$AG$4)="",0,IF(INDEX($A984:$AD984,$AG$6)&lt;&gt;"NON-COMPLIED",0,IF(COUNTIFS(INDEX($A$3:$AD$984,0,$AG$4),INDEX($A984:$AD984,$AG$4),INDEX($A$3:$AD$984,0,$AG$6),"NON-COMPLIED")=1,1,0)))))</f>
        <v>0</v>
      </c>
    </row>
    <row r="985" customFormat="false" ht="15" hidden="false" customHeight="false" outlineLevel="0" collapsed="false">
      <c r="AH985" s="21" t="n">
        <f aca="false">IF($AG$4=0,0,IF($AG$6=0,0,IF(INDEX($A985:$AD985,$AG$4)="",0,IF(INDEX($A985:$AD985,$AG$6)&lt;&gt;"NON-COMPLIED",0,IF(COUNTIFS(INDEX($A$3:$AD$985,0,$AG$4),INDEX($A985:$AD985,$AG$4),INDEX($A$3:$AD$985,0,$AG$6),"NON-COMPLIED")=1,1,0)))))</f>
        <v>0</v>
      </c>
    </row>
    <row r="986" customFormat="false" ht="15" hidden="false" customHeight="false" outlineLevel="0" collapsed="false">
      <c r="AH986" s="21" t="n">
        <f aca="false">IF($AG$4=0,0,IF($AG$6=0,0,IF(INDEX($A986:$AD986,$AG$4)="",0,IF(INDEX($A986:$AD986,$AG$6)&lt;&gt;"NON-COMPLIED",0,IF(COUNTIFS(INDEX($A$3:$AD$986,0,$AG$4),INDEX($A986:$AD986,$AG$4),INDEX($A$3:$AD$986,0,$AG$6),"NON-COMPLIED")=1,1,0)))))</f>
        <v>0</v>
      </c>
    </row>
    <row r="987" customFormat="false" ht="15" hidden="false" customHeight="false" outlineLevel="0" collapsed="false">
      <c r="AH987" s="21" t="n">
        <f aca="false">IF($AG$4=0,0,IF($AG$6=0,0,IF(INDEX($A987:$AD987,$AG$4)="",0,IF(INDEX($A987:$AD987,$AG$6)&lt;&gt;"NON-COMPLIED",0,IF(COUNTIFS(INDEX($A$3:$AD$987,0,$AG$4),INDEX($A987:$AD987,$AG$4),INDEX($A$3:$AD$987,0,$AG$6),"NON-COMPLIED")=1,1,0)))))</f>
        <v>0</v>
      </c>
    </row>
    <row r="988" customFormat="false" ht="15" hidden="false" customHeight="false" outlineLevel="0" collapsed="false">
      <c r="AH988" s="21" t="n">
        <f aca="false">IF($AG$4=0,0,IF($AG$6=0,0,IF(INDEX($A988:$AD988,$AG$4)="",0,IF(INDEX($A988:$AD988,$AG$6)&lt;&gt;"NON-COMPLIED",0,IF(COUNTIFS(INDEX($A$3:$AD$988,0,$AG$4),INDEX($A988:$AD988,$AG$4),INDEX($A$3:$AD$988,0,$AG$6),"NON-COMPLIED")=1,1,0)))))</f>
        <v>0</v>
      </c>
    </row>
    <row r="989" customFormat="false" ht="15" hidden="false" customHeight="false" outlineLevel="0" collapsed="false">
      <c r="AH989" s="21" t="n">
        <f aca="false">IF($AG$4=0,0,IF($AG$6=0,0,IF(INDEX($A989:$AD989,$AG$4)="",0,IF(INDEX($A989:$AD989,$AG$6)&lt;&gt;"NON-COMPLIED",0,IF(COUNTIFS(INDEX($A$3:$AD$989,0,$AG$4),INDEX($A989:$AD989,$AG$4),INDEX($A$3:$AD$989,0,$AG$6),"NON-COMPLIED")=1,1,0)))))</f>
        <v>0</v>
      </c>
    </row>
    <row r="990" customFormat="false" ht="15" hidden="false" customHeight="false" outlineLevel="0" collapsed="false">
      <c r="AH990" s="21" t="n">
        <f aca="false">IF($AG$4=0,0,IF($AG$6=0,0,IF(INDEX($A990:$AD990,$AG$4)="",0,IF(INDEX($A990:$AD990,$AG$6)&lt;&gt;"NON-COMPLIED",0,IF(COUNTIFS(INDEX($A$3:$AD$990,0,$AG$4),INDEX($A990:$AD990,$AG$4),INDEX($A$3:$AD$990,0,$AG$6),"NON-COMPLIED")=1,1,0)))))</f>
        <v>0</v>
      </c>
    </row>
    <row r="991" customFormat="false" ht="15" hidden="false" customHeight="false" outlineLevel="0" collapsed="false">
      <c r="AH991" s="21" t="n">
        <f aca="false">IF($AG$4=0,0,IF($AG$6=0,0,IF(INDEX($A991:$AD991,$AG$4)="",0,IF(INDEX($A991:$AD991,$AG$6)&lt;&gt;"NON-COMPLIED",0,IF(COUNTIFS(INDEX($A$3:$AD$991,0,$AG$4),INDEX($A991:$AD991,$AG$4),INDEX($A$3:$AD$991,0,$AG$6),"NON-COMPLIED")=1,1,0)))))</f>
        <v>0</v>
      </c>
    </row>
    <row r="992" customFormat="false" ht="15" hidden="false" customHeight="false" outlineLevel="0" collapsed="false">
      <c r="AH992" s="21" t="n">
        <f aca="false">IF($AG$4=0,0,IF($AG$6=0,0,IF(INDEX($A992:$AD992,$AG$4)="",0,IF(INDEX($A992:$AD992,$AG$6)&lt;&gt;"NON-COMPLIED",0,IF(COUNTIFS(INDEX($A$3:$AD$992,0,$AG$4),INDEX($A992:$AD992,$AG$4),INDEX($A$3:$AD$992,0,$AG$6),"NON-COMPLIED")=1,1,0)))))</f>
        <v>0</v>
      </c>
    </row>
    <row r="993" customFormat="false" ht="15" hidden="false" customHeight="false" outlineLevel="0" collapsed="false">
      <c r="AH993" s="21" t="n">
        <f aca="false">IF($AG$4=0,0,IF($AG$6=0,0,IF(INDEX($A993:$AD993,$AG$4)="",0,IF(INDEX($A993:$AD993,$AG$6)&lt;&gt;"NON-COMPLIED",0,IF(COUNTIFS(INDEX($A$3:$AD$993,0,$AG$4),INDEX($A993:$AD993,$AG$4),INDEX($A$3:$AD$993,0,$AG$6),"NON-COMPLIED")=1,1,0)))))</f>
        <v>0</v>
      </c>
    </row>
    <row r="994" customFormat="false" ht="15" hidden="false" customHeight="false" outlineLevel="0" collapsed="false">
      <c r="AH994" s="21" t="n">
        <f aca="false">IF($AG$4=0,0,IF($AG$6=0,0,IF(INDEX($A994:$AD994,$AG$4)="",0,IF(INDEX($A994:$AD994,$AG$6)&lt;&gt;"NON-COMPLIED",0,IF(COUNTIFS(INDEX($A$3:$AD$994,0,$AG$4),INDEX($A994:$AD994,$AG$4),INDEX($A$3:$AD$994,0,$AG$6),"NON-COMPLIED")=1,1,0)))))</f>
        <v>0</v>
      </c>
    </row>
    <row r="995" customFormat="false" ht="15" hidden="false" customHeight="false" outlineLevel="0" collapsed="false">
      <c r="AH995" s="21" t="n">
        <f aca="false">IF($AG$4=0,0,IF($AG$6=0,0,IF(INDEX($A995:$AD995,$AG$4)="",0,IF(INDEX($A995:$AD995,$AG$6)&lt;&gt;"NON-COMPLIED",0,IF(COUNTIFS(INDEX($A$3:$AD$995,0,$AG$4),INDEX($A995:$AD995,$AG$4),INDEX($A$3:$AD$995,0,$AG$6),"NON-COMPLIED")=1,1,0)))))</f>
        <v>0</v>
      </c>
    </row>
    <row r="996" customFormat="false" ht="15" hidden="false" customHeight="false" outlineLevel="0" collapsed="false">
      <c r="AH996" s="21" t="n">
        <f aca="false">IF($AG$4=0,0,IF($AG$6=0,0,IF(INDEX($A996:$AD996,$AG$4)="",0,IF(INDEX($A996:$AD996,$AG$6)&lt;&gt;"NON-COMPLIED",0,IF(COUNTIFS(INDEX($A$3:$AD$996,0,$AG$4),INDEX($A996:$AD996,$AG$4),INDEX($A$3:$AD$996,0,$AG$6),"NON-COMPLIED")=1,1,0)))))</f>
        <v>0</v>
      </c>
    </row>
    <row r="997" customFormat="false" ht="15" hidden="false" customHeight="false" outlineLevel="0" collapsed="false">
      <c r="AH997" s="21" t="n">
        <f aca="false">IF($AG$4=0,0,IF($AG$6=0,0,IF(INDEX($A997:$AD997,$AG$4)="",0,IF(INDEX($A997:$AD997,$AG$6)&lt;&gt;"NON-COMPLIED",0,IF(COUNTIFS(INDEX($A$3:$AD$997,0,$AG$4),INDEX($A997:$AD997,$AG$4),INDEX($A$3:$AD$997,0,$AG$6),"NON-COMPLIED")=1,1,0)))))</f>
        <v>0</v>
      </c>
    </row>
    <row r="998" customFormat="false" ht="15" hidden="false" customHeight="false" outlineLevel="0" collapsed="false">
      <c r="AH998" s="21" t="n">
        <f aca="false">IF($AG$4=0,0,IF($AG$6=0,0,IF(INDEX($A998:$AD998,$AG$4)="",0,IF(INDEX($A998:$AD998,$AG$6)&lt;&gt;"NON-COMPLIED",0,IF(COUNTIFS(INDEX($A$3:$AD$998,0,$AG$4),INDEX($A998:$AD998,$AG$4),INDEX($A$3:$AD$998,0,$AG$6),"NON-COMPLIED")=1,1,0)))))</f>
        <v>0</v>
      </c>
    </row>
    <row r="999" customFormat="false" ht="15" hidden="false" customHeight="false" outlineLevel="0" collapsed="false">
      <c r="AH999" s="21" t="n">
        <f aca="false">IF($AG$4=0,0,IF($AG$6=0,0,IF(INDEX($A999:$AD999,$AG$4)="",0,IF(INDEX($A999:$AD999,$AG$6)&lt;&gt;"NON-COMPLIED",0,IF(COUNTIFS(INDEX($A$3:$AD$999,0,$AG$4),INDEX($A999:$AD999,$AG$4),INDEX($A$3:$AD$999,0,$AG$6),"NON-COMPLIED")=1,1,0)))))</f>
        <v>0</v>
      </c>
    </row>
    <row r="1000" customFormat="false" ht="15" hidden="false" customHeight="false" outlineLevel="0" collapsed="false">
      <c r="AH1000" s="21" t="n">
        <f aca="false">IF($AG$4=0,0,IF($AG$6=0,0,IF(INDEX($A1000:$AD1000,$AG$4)="",0,IF(INDEX($A1000:$AD1000,$AG$6)&lt;&gt;"NON-COMPLIED",0,IF(COUNTIFS(INDEX($A$3:$AD$1000,0,$AG$4),INDEX($A1000:$AD1000,$AG$4),INDEX($A$3:$AD$1000,0,$AG$6),"NON-COMPLIED")=1,1,0)))))</f>
        <v>0</v>
      </c>
    </row>
    <row r="1001" customFormat="false" ht="15" hidden="false" customHeight="false" outlineLevel="0" collapsed="false">
      <c r="AH1001" s="21" t="n">
        <f aca="false">IF($AG$4=0,0,IF($AG$6=0,0,IF(INDEX($A1001:$AD1001,$AG$4)="",0,IF(INDEX($A1001:$AD1001,$AG$6)&lt;&gt;"NON-COMPLIED",0,IF(COUNTIFS(INDEX($A$3:$AD$1001,0,$AG$4),INDEX($A1001:$AD1001,$AG$4),INDEX($A$3:$AD$1001,0,$AG$6),"NON-COMPLIED")=1,1,0)))))</f>
        <v>0</v>
      </c>
    </row>
    <row r="1002" customFormat="false" ht="15" hidden="false" customHeight="false" outlineLevel="0" collapsed="false">
      <c r="AH1002" s="21" t="n">
        <f aca="false">IF($AG$4=0,0,IF($AG$6=0,0,IF(INDEX($A1002:$AD1002,$AG$4)="",0,IF(INDEX($A1002:$AD1002,$AG$6)&lt;&gt;"NON-COMPLIED",0,IF(COUNTIFS(INDEX($A$3:$AD$1002,0,$AG$4),INDEX($A1002:$AD1002,$AG$4),INDEX($A$3:$AD$1002,0,$AG$6),"NON-COMPLIED")=1,1,0)))))</f>
        <v>0</v>
      </c>
    </row>
    <row r="1003" customFormat="false" ht="15" hidden="false" customHeight="false" outlineLevel="0" collapsed="false">
      <c r="AH1003" s="21" t="n">
        <f aca="false">IF($AG$4=0,0,IF($AG$6=0,0,IF(INDEX($A1003:$AD1003,$AG$4)="",0,IF(INDEX($A1003:$AD1003,$AG$6)&lt;&gt;"NON-COMPLIED",0,IF(COUNTIFS(INDEX($A$3:$AD$1003,0,$AG$4),INDEX($A1003:$AD1003,$AG$4),INDEX($A$3:$AD$1003,0,$AG$6),"NON-COMPLIED")=1,1,0)))))</f>
        <v>0</v>
      </c>
    </row>
    <row r="1004" customFormat="false" ht="15" hidden="false" customHeight="false" outlineLevel="0" collapsed="false">
      <c r="AH1004" s="21" t="n">
        <f aca="false">IF($AG$4=0,0,IF($AG$6=0,0,IF(INDEX($A1004:$AD1004,$AG$4)="",0,IF(INDEX($A1004:$AD1004,$AG$6)&lt;&gt;"NON-COMPLIED",0,IF(COUNTIFS(INDEX($A$3:$AD$1004,0,$AG$4),INDEX($A1004:$AD1004,$AG$4),INDEX($A$3:$AD$1004,0,$AG$6),"NON-COMPLIED")=1,1,0)))))</f>
        <v>0</v>
      </c>
    </row>
    <row r="1005" customFormat="false" ht="15" hidden="false" customHeight="false" outlineLevel="0" collapsed="false">
      <c r="AH1005" s="21" t="n">
        <f aca="false">IF($AG$4=0,0,IF($AG$6=0,0,IF(INDEX($A1005:$AD1005,$AG$4)="",0,IF(INDEX($A1005:$AD1005,$AG$6)&lt;&gt;"NON-COMPLIED",0,IF(COUNTIFS(INDEX($A$3:$AD$1005,0,$AG$4),INDEX($A1005:$AD1005,$AG$4),INDEX($A$3:$AD$1005,0,$AG$6),"NON-COMPLIED")=1,1,0)))))</f>
        <v>0</v>
      </c>
    </row>
    <row r="1006" customFormat="false" ht="15" hidden="false" customHeight="false" outlineLevel="0" collapsed="false">
      <c r="AH1006" s="21" t="n">
        <f aca="false">IF($AG$4=0,0,IF($AG$6=0,0,IF(INDEX($A1006:$AD1006,$AG$4)="",0,IF(INDEX($A1006:$AD1006,$AG$6)&lt;&gt;"NON-COMPLIED",0,IF(COUNTIFS(INDEX($A$3:$AD$1006,0,$AG$4),INDEX($A1006:$AD1006,$AG$4),INDEX($A$3:$AD$1006,0,$AG$6),"NON-COMPLIED")=1,1,0)))))</f>
        <v>0</v>
      </c>
    </row>
    <row r="1007" customFormat="false" ht="15" hidden="false" customHeight="false" outlineLevel="0" collapsed="false">
      <c r="AH1007" s="21" t="n">
        <f aca="false">IF($AG$4=0,0,IF($AG$6=0,0,IF(INDEX($A1007:$AD1007,$AG$4)="",0,IF(INDEX($A1007:$AD1007,$AG$6)&lt;&gt;"NON-COMPLIED",0,IF(COUNTIFS(INDEX($A$3:$AD$1007,0,$AG$4),INDEX($A1007:$AD1007,$AG$4),INDEX($A$3:$AD$1007,0,$AG$6),"NON-COMPLIED")=1,1,0)))))</f>
        <v>0</v>
      </c>
    </row>
    <row r="1008" customFormat="false" ht="15" hidden="false" customHeight="false" outlineLevel="0" collapsed="false">
      <c r="AH1008" s="21" t="n">
        <f aca="false">IF($AG$4=0,0,IF($AG$6=0,0,IF(INDEX($A1008:$AD1008,$AG$4)="",0,IF(INDEX($A1008:$AD1008,$AG$6)&lt;&gt;"NON-COMPLIED",0,IF(COUNTIFS(INDEX($A$3:$AD$1008,0,$AG$4),INDEX($A1008:$AD1008,$AG$4),INDEX($A$3:$AD$1008,0,$AG$6),"NON-COMPLIED")=1,1,0)))))</f>
        <v>0</v>
      </c>
    </row>
    <row r="1009" customFormat="false" ht="15" hidden="false" customHeight="false" outlineLevel="0" collapsed="false">
      <c r="AH1009" s="21" t="n">
        <f aca="false">IF($AG$4=0,0,IF($AG$6=0,0,IF(INDEX($A1009:$AD1009,$AG$4)="",0,IF(INDEX($A1009:$AD1009,$AG$6)&lt;&gt;"NON-COMPLIED",0,IF(COUNTIFS(INDEX($A$3:$AD$1009,0,$AG$4),INDEX($A1009:$AD1009,$AG$4),INDEX($A$3:$AD$1009,0,$AG$6),"NON-COMPLIED")=1,1,0)))))</f>
        <v>0</v>
      </c>
    </row>
    <row r="1010" customFormat="false" ht="15" hidden="false" customHeight="false" outlineLevel="0" collapsed="false">
      <c r="AH1010" s="21" t="n">
        <f aca="false">IF($AG$4=0,0,IF($AG$6=0,0,IF(INDEX($A1010:$AD1010,$AG$4)="",0,IF(INDEX($A1010:$AD1010,$AG$6)&lt;&gt;"NON-COMPLIED",0,IF(COUNTIFS(INDEX($A$3:$AD$1010,0,$AG$4),INDEX($A1010:$AD1010,$AG$4),INDEX($A$3:$AD$1010,0,$AG$6),"NON-COMPLIED")=1,1,0)))))</f>
        <v>0</v>
      </c>
    </row>
    <row r="1011" customFormat="false" ht="15" hidden="false" customHeight="false" outlineLevel="0" collapsed="false">
      <c r="AH1011" s="21" t="n">
        <f aca="false">IF($AG$4=0,0,IF($AG$6=0,0,IF(INDEX($A1011:$AD1011,$AG$4)="",0,IF(INDEX($A1011:$AD1011,$AG$6)&lt;&gt;"NON-COMPLIED",0,IF(COUNTIFS(INDEX($A$3:$AD$1011,0,$AG$4),INDEX($A1011:$AD1011,$AG$4),INDEX($A$3:$AD$1011,0,$AG$6),"NON-COMPLIED")=1,1,0)))))</f>
        <v>0</v>
      </c>
    </row>
    <row r="1012" customFormat="false" ht="15" hidden="false" customHeight="false" outlineLevel="0" collapsed="false">
      <c r="AH1012" s="21" t="n">
        <f aca="false">IF($AG$4=0,0,IF($AG$6=0,0,IF(INDEX($A1012:$AD1012,$AG$4)="",0,IF(INDEX($A1012:$AD1012,$AG$6)&lt;&gt;"NON-COMPLIED",0,IF(COUNTIFS(INDEX($A$3:$AD$1012,0,$AG$4),INDEX($A1012:$AD1012,$AG$4),INDEX($A$3:$AD$1012,0,$AG$6),"NON-COMPLIED")=1,1,0)))))</f>
        <v>0</v>
      </c>
    </row>
    <row r="1013" customFormat="false" ht="15" hidden="false" customHeight="false" outlineLevel="0" collapsed="false">
      <c r="AH1013" s="21" t="n">
        <f aca="false">IF($AG$4=0,0,IF($AG$6=0,0,IF(INDEX($A1013:$AD1013,$AG$4)="",0,IF(INDEX($A1013:$AD1013,$AG$6)&lt;&gt;"NON-COMPLIED",0,IF(COUNTIFS(INDEX($A$3:$AD$1013,0,$AG$4),INDEX($A1013:$AD1013,$AG$4),INDEX($A$3:$AD$1013,0,$AG$6),"NON-COMPLIED")=1,1,0)))))</f>
        <v>0</v>
      </c>
    </row>
    <row r="1014" customFormat="false" ht="15" hidden="false" customHeight="false" outlineLevel="0" collapsed="false">
      <c r="AH1014" s="21" t="n">
        <f aca="false">IF($AG$4=0,0,IF($AG$6=0,0,IF(INDEX($A1014:$AD1014,$AG$4)="",0,IF(INDEX($A1014:$AD1014,$AG$6)&lt;&gt;"NON-COMPLIED",0,IF(COUNTIFS(INDEX($A$3:$AD$1014,0,$AG$4),INDEX($A1014:$AD1014,$AG$4),INDEX($A$3:$AD$1014,0,$AG$6),"NON-COMPLIED")=1,1,0)))))</f>
        <v>0</v>
      </c>
    </row>
    <row r="1015" customFormat="false" ht="15" hidden="false" customHeight="false" outlineLevel="0" collapsed="false">
      <c r="AH1015" s="21" t="n">
        <f aca="false">IF($AG$4=0,0,IF($AG$6=0,0,IF(INDEX($A1015:$AD1015,$AG$4)="",0,IF(INDEX($A1015:$AD1015,$AG$6)&lt;&gt;"NON-COMPLIED",0,IF(COUNTIFS(INDEX($A$3:$AD$1015,0,$AG$4),INDEX($A1015:$AD1015,$AG$4),INDEX($A$3:$AD$1015,0,$AG$6),"NON-COMPLIED")=1,1,0)))))</f>
        <v>0</v>
      </c>
    </row>
    <row r="1016" customFormat="false" ht="15" hidden="false" customHeight="false" outlineLevel="0" collapsed="false">
      <c r="AH1016" s="21" t="n">
        <f aca="false">IF($AG$4=0,0,IF($AG$6=0,0,IF(INDEX($A1016:$AD1016,$AG$4)="",0,IF(INDEX($A1016:$AD1016,$AG$6)&lt;&gt;"NON-COMPLIED",0,IF(COUNTIFS(INDEX($A$3:$AD$1016,0,$AG$4),INDEX($A1016:$AD1016,$AG$4),INDEX($A$3:$AD$1016,0,$AG$6),"NON-COMPLIED")=1,1,0)))))</f>
        <v>0</v>
      </c>
    </row>
    <row r="1017" customFormat="false" ht="15" hidden="false" customHeight="false" outlineLevel="0" collapsed="false">
      <c r="AH1017" s="21" t="n">
        <f aca="false">IF($AG$4=0,0,IF($AG$6=0,0,IF(INDEX($A1017:$AD1017,$AG$4)="",0,IF(INDEX($A1017:$AD1017,$AG$6)&lt;&gt;"NON-COMPLIED",0,IF(COUNTIFS(INDEX($A$3:$AD$1017,0,$AG$4),INDEX($A1017:$AD1017,$AG$4),INDEX($A$3:$AD$1017,0,$AG$6),"NON-COMPLIED")=1,1,0)))))</f>
        <v>0</v>
      </c>
    </row>
    <row r="1018" customFormat="false" ht="15" hidden="false" customHeight="false" outlineLevel="0" collapsed="false">
      <c r="AH1018" s="21" t="n">
        <f aca="false">IF($AG$4=0,0,IF($AG$6=0,0,IF(INDEX($A1018:$AD1018,$AG$4)="",0,IF(INDEX($A1018:$AD1018,$AG$6)&lt;&gt;"NON-COMPLIED",0,IF(COUNTIFS(INDEX($A$3:$AD$1018,0,$AG$4),INDEX($A1018:$AD1018,$AG$4),INDEX($A$3:$AD$1018,0,$AG$6),"NON-COMPLIED")=1,1,0)))))</f>
        <v>0</v>
      </c>
    </row>
    <row r="1019" customFormat="false" ht="15" hidden="false" customHeight="false" outlineLevel="0" collapsed="false">
      <c r="AH1019" s="21" t="n">
        <f aca="false">IF($AG$4=0,0,IF($AG$6=0,0,IF(INDEX($A1019:$AD1019,$AG$4)="",0,IF(INDEX($A1019:$AD1019,$AG$6)&lt;&gt;"NON-COMPLIED",0,IF(COUNTIFS(INDEX($A$3:$AD$1019,0,$AG$4),INDEX($A1019:$AD1019,$AG$4),INDEX($A$3:$AD$1019,0,$AG$6),"NON-COMPLIED")=1,1,0)))))</f>
        <v>0</v>
      </c>
    </row>
    <row r="1020" customFormat="false" ht="15" hidden="false" customHeight="false" outlineLevel="0" collapsed="false">
      <c r="AH1020" s="21" t="n">
        <f aca="false">IF($AG$4=0,0,IF($AG$6=0,0,IF(INDEX($A1020:$AD1020,$AG$4)="",0,IF(INDEX($A1020:$AD1020,$AG$6)&lt;&gt;"NON-COMPLIED",0,IF(COUNTIFS(INDEX($A$3:$AD$1020,0,$AG$4),INDEX($A1020:$AD1020,$AG$4),INDEX($A$3:$AD$1020,0,$AG$6),"NON-COMPLIED")=1,1,0)))))</f>
        <v>0</v>
      </c>
    </row>
    <row r="1021" customFormat="false" ht="15" hidden="false" customHeight="false" outlineLevel="0" collapsed="false">
      <c r="AH1021" s="21" t="n">
        <f aca="false">IF($AG$4=0,0,IF($AG$6=0,0,IF(INDEX($A1021:$AD1021,$AG$4)="",0,IF(INDEX($A1021:$AD1021,$AG$6)&lt;&gt;"NON-COMPLIED",0,IF(COUNTIFS(INDEX($A$3:$AD$1021,0,$AG$4),INDEX($A1021:$AD1021,$AG$4),INDEX($A$3:$AD$1021,0,$AG$6),"NON-COMPLIED")=1,1,0)))))</f>
        <v>0</v>
      </c>
    </row>
    <row r="1022" customFormat="false" ht="15" hidden="false" customHeight="false" outlineLevel="0" collapsed="false">
      <c r="AH1022" s="21" t="n">
        <f aca="false">IF($AG$4=0,0,IF($AG$6=0,0,IF(INDEX($A1022:$AD1022,$AG$4)="",0,IF(INDEX($A1022:$AD1022,$AG$6)&lt;&gt;"NON-COMPLIED",0,IF(COUNTIFS(INDEX($A$3:$AD$1022,0,$AG$4),INDEX($A1022:$AD1022,$AG$4),INDEX($A$3:$AD$1022,0,$AG$6),"NON-COMPLIED")=1,1,0)))))</f>
        <v>0</v>
      </c>
    </row>
    <row r="1023" customFormat="false" ht="15" hidden="false" customHeight="false" outlineLevel="0" collapsed="false">
      <c r="AH1023" s="21" t="n">
        <f aca="false">IF($AG$4=0,0,IF($AG$6=0,0,IF(INDEX($A1023:$AD1023,$AG$4)="",0,IF(INDEX($A1023:$AD1023,$AG$6)&lt;&gt;"NON-COMPLIED",0,IF(COUNTIFS(INDEX($A$3:$AD$1023,0,$AG$4),INDEX($A1023:$AD1023,$AG$4),INDEX($A$3:$AD$1023,0,$AG$6),"NON-COMPLIED")=1,1,0)))))</f>
        <v>0</v>
      </c>
    </row>
    <row r="1024" customFormat="false" ht="15" hidden="false" customHeight="false" outlineLevel="0" collapsed="false">
      <c r="AH1024" s="21" t="n">
        <f aca="false">IF($AG$4=0,0,IF($AG$6=0,0,IF(INDEX($A1024:$AD1024,$AG$4)="",0,IF(INDEX($A1024:$AD1024,$AG$6)&lt;&gt;"NON-COMPLIED",0,IF(COUNTIFS(INDEX($A$3:$AD$1024,0,$AG$4),INDEX($A1024:$AD1024,$AG$4),INDEX($A$3:$AD$1024,0,$AG$6),"NON-COMPLIED")=1,1,0)))))</f>
        <v>0</v>
      </c>
    </row>
    <row r="1025" customFormat="false" ht="15" hidden="false" customHeight="false" outlineLevel="0" collapsed="false">
      <c r="AH1025" s="21" t="n">
        <f aca="false">IF($AG$4=0,0,IF($AG$6=0,0,IF(INDEX($A1025:$AD1025,$AG$4)="",0,IF(INDEX($A1025:$AD1025,$AG$6)&lt;&gt;"NON-COMPLIED",0,IF(COUNTIFS(INDEX($A$3:$AD$1025,0,$AG$4),INDEX($A1025:$AD1025,$AG$4),INDEX($A$3:$AD$1025,0,$AG$6),"NON-COMPLIED")=1,1,0)))))</f>
        <v>0</v>
      </c>
    </row>
    <row r="1026" customFormat="false" ht="15" hidden="false" customHeight="false" outlineLevel="0" collapsed="false">
      <c r="AH1026" s="21" t="n">
        <f aca="false">IF($AG$4=0,0,IF($AG$6=0,0,IF(INDEX($A1026:$AD1026,$AG$4)="",0,IF(INDEX($A1026:$AD1026,$AG$6)&lt;&gt;"NON-COMPLIED",0,IF(COUNTIFS(INDEX($A$3:$AD$1026,0,$AG$4),INDEX($A1026:$AD1026,$AG$4),INDEX($A$3:$AD$1026,0,$AG$6),"NON-COMPLIED")=1,1,0)))))</f>
        <v>0</v>
      </c>
    </row>
    <row r="1027" customFormat="false" ht="15" hidden="false" customHeight="false" outlineLevel="0" collapsed="false">
      <c r="AH1027" s="21" t="n">
        <f aca="false">IF($AG$4=0,0,IF($AG$6=0,0,IF(INDEX($A1027:$AD1027,$AG$4)="",0,IF(INDEX($A1027:$AD1027,$AG$6)&lt;&gt;"NON-COMPLIED",0,IF(COUNTIFS(INDEX($A$3:$AD$1027,0,$AG$4),INDEX($A1027:$AD1027,$AG$4),INDEX($A$3:$AD$1027,0,$AG$6),"NON-COMPLIED")=1,1,0)))))</f>
        <v>0</v>
      </c>
    </row>
    <row r="1028" customFormat="false" ht="15" hidden="false" customHeight="false" outlineLevel="0" collapsed="false">
      <c r="AH1028" s="21" t="n">
        <f aca="false">IF($AG$4=0,0,IF($AG$6=0,0,IF(INDEX($A1028:$AD1028,$AG$4)="",0,IF(INDEX($A1028:$AD1028,$AG$6)&lt;&gt;"NON-COMPLIED",0,IF(COUNTIFS(INDEX($A$3:$AD$1028,0,$AG$4),INDEX($A1028:$AD1028,$AG$4),INDEX($A$3:$AD$1028,0,$AG$6),"NON-COMPLIED")=1,1,0)))))</f>
        <v>0</v>
      </c>
    </row>
    <row r="1029" customFormat="false" ht="15" hidden="false" customHeight="false" outlineLevel="0" collapsed="false">
      <c r="AH1029" s="21" t="n">
        <f aca="false">IF($AG$4=0,0,IF($AG$6=0,0,IF(INDEX($A1029:$AD1029,$AG$4)="",0,IF(INDEX($A1029:$AD1029,$AG$6)&lt;&gt;"NON-COMPLIED",0,IF(COUNTIFS(INDEX($A$3:$AD$1029,0,$AG$4),INDEX($A1029:$AD1029,$AG$4),INDEX($A$3:$AD$1029,0,$AG$6),"NON-COMPLIED")=1,1,0)))))</f>
        <v>0</v>
      </c>
    </row>
    <row r="1030" customFormat="false" ht="15" hidden="false" customHeight="false" outlineLevel="0" collapsed="false">
      <c r="AH1030" s="21" t="n">
        <f aca="false">IF($AG$4=0,0,IF($AG$6=0,0,IF(INDEX($A1030:$AD1030,$AG$4)="",0,IF(INDEX($A1030:$AD1030,$AG$6)&lt;&gt;"NON-COMPLIED",0,IF(COUNTIFS(INDEX($A$3:$AD$1030,0,$AG$4),INDEX($A1030:$AD1030,$AG$4),INDEX($A$3:$AD$1030,0,$AG$6),"NON-COMPLIED")=1,1,0)))))</f>
        <v>0</v>
      </c>
    </row>
    <row r="1031" customFormat="false" ht="15" hidden="false" customHeight="false" outlineLevel="0" collapsed="false">
      <c r="AH1031" s="21" t="n">
        <f aca="false">IF($AG$4=0,0,IF($AG$6=0,0,IF(INDEX($A1031:$AD1031,$AG$4)="",0,IF(INDEX($A1031:$AD1031,$AG$6)&lt;&gt;"NON-COMPLIED",0,IF(COUNTIFS(INDEX($A$3:$AD$1031,0,$AG$4),INDEX($A1031:$AD1031,$AG$4),INDEX($A$3:$AD$1031,0,$AG$6),"NON-COMPLIED")=1,1,0)))))</f>
        <v>0</v>
      </c>
    </row>
    <row r="1032" customFormat="false" ht="15" hidden="false" customHeight="false" outlineLevel="0" collapsed="false">
      <c r="AH1032" s="21" t="n">
        <f aca="false">IF($AG$4=0,0,IF($AG$6=0,0,IF(INDEX($A1032:$AD1032,$AG$4)="",0,IF(INDEX($A1032:$AD1032,$AG$6)&lt;&gt;"NON-COMPLIED",0,IF(COUNTIFS(INDEX($A$3:$AD$1032,0,$AG$4),INDEX($A1032:$AD1032,$AG$4),INDEX($A$3:$AD$1032,0,$AG$6),"NON-COMPLIED")=1,1,0)))))</f>
        <v>0</v>
      </c>
    </row>
    <row r="1033" customFormat="false" ht="15" hidden="false" customHeight="false" outlineLevel="0" collapsed="false">
      <c r="AH1033" s="21" t="n">
        <f aca="false">IF($AG$4=0,0,IF($AG$6=0,0,IF(INDEX($A1033:$AD1033,$AG$4)="",0,IF(INDEX($A1033:$AD1033,$AG$6)&lt;&gt;"NON-COMPLIED",0,IF(COUNTIFS(INDEX($A$3:$AD$1033,0,$AG$4),INDEX($A1033:$AD1033,$AG$4),INDEX($A$3:$AD$1033,0,$AG$6),"NON-COMPLIED")=1,1,0)))))</f>
        <v>0</v>
      </c>
    </row>
    <row r="1034" customFormat="false" ht="15" hidden="false" customHeight="false" outlineLevel="0" collapsed="false">
      <c r="AH1034" s="21" t="n">
        <f aca="false">IF($AG$4=0,0,IF($AG$6=0,0,IF(INDEX($A1034:$AD1034,$AG$4)="",0,IF(INDEX($A1034:$AD1034,$AG$6)&lt;&gt;"NON-COMPLIED",0,IF(COUNTIFS(INDEX($A$3:$AD$1034,0,$AG$4),INDEX($A1034:$AD1034,$AG$4),INDEX($A$3:$AD$1034,0,$AG$6),"NON-COMPLIED")=1,1,0)))))</f>
        <v>0</v>
      </c>
    </row>
    <row r="1035" customFormat="false" ht="15" hidden="false" customHeight="false" outlineLevel="0" collapsed="false">
      <c r="AH1035" s="21" t="n">
        <f aca="false">IF($AG$4=0,0,IF($AG$6=0,0,IF(INDEX($A1035:$AD1035,$AG$4)="",0,IF(INDEX($A1035:$AD1035,$AG$6)&lt;&gt;"NON-COMPLIED",0,IF(COUNTIFS(INDEX($A$3:$AD$1035,0,$AG$4),INDEX($A1035:$AD1035,$AG$4),INDEX($A$3:$AD$1035,0,$AG$6),"NON-COMPLIED")=1,1,0)))))</f>
        <v>0</v>
      </c>
    </row>
    <row r="1036" customFormat="false" ht="15" hidden="false" customHeight="false" outlineLevel="0" collapsed="false">
      <c r="AH1036" s="21" t="n">
        <f aca="false">IF($AG$4=0,0,IF($AG$6=0,0,IF(INDEX($A1036:$AD1036,$AG$4)="",0,IF(INDEX($A1036:$AD1036,$AG$6)&lt;&gt;"NON-COMPLIED",0,IF(COUNTIFS(INDEX($A$3:$AD$1036,0,$AG$4),INDEX($A1036:$AD1036,$AG$4),INDEX($A$3:$AD$1036,0,$AG$6),"NON-COMPLIED")=1,1,0)))))</f>
        <v>0</v>
      </c>
    </row>
    <row r="1037" customFormat="false" ht="15" hidden="false" customHeight="false" outlineLevel="0" collapsed="false">
      <c r="AH1037" s="21" t="n">
        <f aca="false">IF($AG$4=0,0,IF($AG$6=0,0,IF(INDEX($A1037:$AD1037,$AG$4)="",0,IF(INDEX($A1037:$AD1037,$AG$6)&lt;&gt;"NON-COMPLIED",0,IF(COUNTIFS(INDEX($A$3:$AD$1037,0,$AG$4),INDEX($A1037:$AD1037,$AG$4),INDEX($A$3:$AD$1037,0,$AG$6),"NON-COMPLIED")=1,1,0)))))</f>
        <v>0</v>
      </c>
    </row>
    <row r="1038" customFormat="false" ht="15" hidden="false" customHeight="false" outlineLevel="0" collapsed="false">
      <c r="AH1038" s="21" t="n">
        <f aca="false">IF($AG$4=0,0,IF($AG$6=0,0,IF(INDEX($A1038:$AD1038,$AG$4)="",0,IF(INDEX($A1038:$AD1038,$AG$6)&lt;&gt;"NON-COMPLIED",0,IF(COUNTIFS(INDEX($A$3:$AD$1038,0,$AG$4),INDEX($A1038:$AD1038,$AG$4),INDEX($A$3:$AD$1038,0,$AG$6),"NON-COMPLIED")=1,1,0)))))</f>
        <v>0</v>
      </c>
    </row>
    <row r="1039" customFormat="false" ht="15" hidden="false" customHeight="false" outlineLevel="0" collapsed="false">
      <c r="AH1039" s="21" t="n">
        <f aca="false">IF($AG$4=0,0,IF($AG$6=0,0,IF(INDEX($A1039:$AD1039,$AG$4)="",0,IF(INDEX($A1039:$AD1039,$AG$6)&lt;&gt;"NON-COMPLIED",0,IF(COUNTIFS(INDEX($A$3:$AD$1039,0,$AG$4),INDEX($A1039:$AD1039,$AG$4),INDEX($A$3:$AD$1039,0,$AG$6),"NON-COMPLIED")=1,1,0)))))</f>
        <v>0</v>
      </c>
    </row>
    <row r="1040" customFormat="false" ht="15" hidden="false" customHeight="false" outlineLevel="0" collapsed="false">
      <c r="AH1040" s="21" t="n">
        <f aca="false">IF($AG$4=0,0,IF($AG$6=0,0,IF(INDEX($A1040:$AD1040,$AG$4)="",0,IF(INDEX($A1040:$AD1040,$AG$6)&lt;&gt;"NON-COMPLIED",0,IF(COUNTIFS(INDEX($A$3:$AD$1040,0,$AG$4),INDEX($A1040:$AD1040,$AG$4),INDEX($A$3:$AD$1040,0,$AG$6),"NON-COMPLIED")=1,1,0)))))</f>
        <v>0</v>
      </c>
    </row>
    <row r="1041" customFormat="false" ht="15" hidden="false" customHeight="false" outlineLevel="0" collapsed="false">
      <c r="AH1041" s="21" t="n">
        <f aca="false">IF($AG$4=0,0,IF($AG$6=0,0,IF(INDEX($A1041:$AD1041,$AG$4)="",0,IF(INDEX($A1041:$AD1041,$AG$6)&lt;&gt;"NON-COMPLIED",0,IF(COUNTIFS(INDEX($A$3:$AD$1041,0,$AG$4),INDEX($A1041:$AD1041,$AG$4),INDEX($A$3:$AD$1041,0,$AG$6),"NON-COMPLIED")=1,1,0)))))</f>
        <v>0</v>
      </c>
    </row>
    <row r="1042" customFormat="false" ht="15" hidden="false" customHeight="false" outlineLevel="0" collapsed="false">
      <c r="AH1042" s="21" t="n">
        <f aca="false">IF($AG$4=0,0,IF($AG$6=0,0,IF(INDEX($A1042:$AD1042,$AG$4)="",0,IF(INDEX($A1042:$AD1042,$AG$6)&lt;&gt;"NON-COMPLIED",0,IF(COUNTIFS(INDEX($A$3:$AD$1042,0,$AG$4),INDEX($A1042:$AD1042,$AG$4),INDEX($A$3:$AD$1042,0,$AG$6),"NON-COMPLIED")=1,1,0)))))</f>
        <v>0</v>
      </c>
    </row>
    <row r="1043" customFormat="false" ht="15" hidden="false" customHeight="false" outlineLevel="0" collapsed="false">
      <c r="AH1043" s="21" t="n">
        <f aca="false">IF($AG$4=0,0,IF($AG$6=0,0,IF(INDEX($A1043:$AD1043,$AG$4)="",0,IF(INDEX($A1043:$AD1043,$AG$6)&lt;&gt;"NON-COMPLIED",0,IF(COUNTIFS(INDEX($A$3:$AD$1043,0,$AG$4),INDEX($A1043:$AD1043,$AG$4),INDEX($A$3:$AD$1043,0,$AG$6),"NON-COMPLIED")=1,1,0)))))</f>
        <v>0</v>
      </c>
    </row>
    <row r="1044" customFormat="false" ht="15" hidden="false" customHeight="false" outlineLevel="0" collapsed="false">
      <c r="AH1044" s="21" t="n">
        <f aca="false">IF($AG$4=0,0,IF($AG$6=0,0,IF(INDEX($A1044:$AD1044,$AG$4)="",0,IF(INDEX($A1044:$AD1044,$AG$6)&lt;&gt;"NON-COMPLIED",0,IF(COUNTIFS(INDEX($A$3:$AD$1044,0,$AG$4),INDEX($A1044:$AD1044,$AG$4),INDEX($A$3:$AD$1044,0,$AG$6),"NON-COMPLIED")=1,1,0)))))</f>
        <v>0</v>
      </c>
    </row>
    <row r="1045" customFormat="false" ht="15" hidden="false" customHeight="false" outlineLevel="0" collapsed="false">
      <c r="AH1045" s="21" t="n">
        <f aca="false">IF($AG$4=0,0,IF($AG$6=0,0,IF(INDEX($A1045:$AD1045,$AG$4)="",0,IF(INDEX($A1045:$AD1045,$AG$6)&lt;&gt;"NON-COMPLIED",0,IF(COUNTIFS(INDEX($A$3:$AD$1045,0,$AG$4),INDEX($A1045:$AD1045,$AG$4),INDEX($A$3:$AD$1045,0,$AG$6),"NON-COMPLIED")=1,1,0)))))</f>
        <v>0</v>
      </c>
    </row>
    <row r="1046" customFormat="false" ht="15" hidden="false" customHeight="false" outlineLevel="0" collapsed="false">
      <c r="AH1046" s="21" t="n">
        <f aca="false">IF($AG$4=0,0,IF($AG$6=0,0,IF(INDEX($A1046:$AD1046,$AG$4)="",0,IF(INDEX($A1046:$AD1046,$AG$6)&lt;&gt;"NON-COMPLIED",0,IF(COUNTIFS(INDEX($A$3:$AD$1046,0,$AG$4),INDEX($A1046:$AD1046,$AG$4),INDEX($A$3:$AD$1046,0,$AG$6),"NON-COMPLIED")=1,1,0)))))</f>
        <v>0</v>
      </c>
    </row>
    <row r="1047" customFormat="false" ht="15" hidden="false" customHeight="false" outlineLevel="0" collapsed="false">
      <c r="AH1047" s="21" t="n">
        <f aca="false">IF($AG$4=0,0,IF($AG$6=0,0,IF(INDEX($A1047:$AD1047,$AG$4)="",0,IF(INDEX($A1047:$AD1047,$AG$6)&lt;&gt;"NON-COMPLIED",0,IF(COUNTIFS(INDEX($A$3:$AD$1047,0,$AG$4),INDEX($A1047:$AD1047,$AG$4),INDEX($A$3:$AD$1047,0,$AG$6),"NON-COMPLIED")=1,1,0)))))</f>
        <v>0</v>
      </c>
    </row>
    <row r="1048" customFormat="false" ht="15" hidden="false" customHeight="false" outlineLevel="0" collapsed="false">
      <c r="AH1048" s="21" t="n">
        <f aca="false">IF($AG$4=0,0,IF($AG$6=0,0,IF(INDEX($A1048:$AD1048,$AG$4)="",0,IF(INDEX($A1048:$AD1048,$AG$6)&lt;&gt;"NON-COMPLIED",0,IF(COUNTIFS(INDEX($A$3:$AD$1048,0,$AG$4),INDEX($A1048:$AD1048,$AG$4),INDEX($A$3:$AD$1048,0,$AG$6),"NON-COMPLIED")=1,1,0)))))</f>
        <v>0</v>
      </c>
    </row>
    <row r="1049" customFormat="false" ht="15" hidden="false" customHeight="false" outlineLevel="0" collapsed="false">
      <c r="AH1049" s="21" t="n">
        <f aca="false">IF($AG$4=0,0,IF($AG$6=0,0,IF(INDEX($A1049:$AD1049,$AG$4)="",0,IF(INDEX($A1049:$AD1049,$AG$6)&lt;&gt;"NON-COMPLIED",0,IF(COUNTIFS(INDEX($A$3:$AD$1049,0,$AG$4),INDEX($A1049:$AD1049,$AG$4),INDEX($A$3:$AD$1049,0,$AG$6),"NON-COMPLIED")=1,1,0)))))</f>
        <v>0</v>
      </c>
    </row>
    <row r="1050" customFormat="false" ht="15" hidden="false" customHeight="false" outlineLevel="0" collapsed="false">
      <c r="AH1050" s="21" t="n">
        <f aca="false">IF($AG$4=0,0,IF($AG$6=0,0,IF(INDEX($A1050:$AD1050,$AG$4)="",0,IF(INDEX($A1050:$AD1050,$AG$6)&lt;&gt;"NON-COMPLIED",0,IF(COUNTIFS(INDEX($A$3:$AD$1050,0,$AG$4),INDEX($A1050:$AD1050,$AG$4),INDEX($A$3:$AD$1050,0,$AG$6),"NON-COMPLIED")=1,1,0)))))</f>
        <v>0</v>
      </c>
    </row>
    <row r="1051" customFormat="false" ht="15" hidden="false" customHeight="false" outlineLevel="0" collapsed="false">
      <c r="AH1051" s="21" t="n">
        <f aca="false">IF($AG$4=0,0,IF($AG$6=0,0,IF(INDEX($A1051:$AD1051,$AG$4)="",0,IF(INDEX($A1051:$AD1051,$AG$6)&lt;&gt;"NON-COMPLIED",0,IF(COUNTIFS(INDEX($A$3:$AD$1051,0,$AG$4),INDEX($A1051:$AD1051,$AG$4),INDEX($A$3:$AD$1051,0,$AG$6),"NON-COMPLIED")=1,1,0)))))</f>
        <v>0</v>
      </c>
    </row>
    <row r="1052" customFormat="false" ht="15" hidden="false" customHeight="false" outlineLevel="0" collapsed="false">
      <c r="AH1052" s="21" t="n">
        <f aca="false">IF($AG$4=0,0,IF($AG$6=0,0,IF(INDEX($A1052:$AD1052,$AG$4)="",0,IF(INDEX($A1052:$AD1052,$AG$6)&lt;&gt;"NON-COMPLIED",0,IF(COUNTIFS(INDEX($A$3:$AD$1052,0,$AG$4),INDEX($A1052:$AD1052,$AG$4),INDEX($A$3:$AD$1052,0,$AG$6),"NON-COMPLIED")=1,1,0)))))</f>
        <v>0</v>
      </c>
    </row>
    <row r="1053" customFormat="false" ht="15" hidden="false" customHeight="false" outlineLevel="0" collapsed="false">
      <c r="AH1053" s="21" t="n">
        <f aca="false">IF($AG$4=0,0,IF($AG$6=0,0,IF(INDEX($A1053:$AD1053,$AG$4)="",0,IF(INDEX($A1053:$AD1053,$AG$6)&lt;&gt;"NON-COMPLIED",0,IF(COUNTIFS(INDEX($A$3:$AD$1053,0,$AG$4),INDEX($A1053:$AD1053,$AG$4),INDEX($A$3:$AD$1053,0,$AG$6),"NON-COMPLIED")=1,1,0)))))</f>
        <v>0</v>
      </c>
    </row>
    <row r="1054" customFormat="false" ht="15" hidden="false" customHeight="false" outlineLevel="0" collapsed="false">
      <c r="AH1054" s="21" t="n">
        <f aca="false">IF($AG$4=0,0,IF($AG$6=0,0,IF(INDEX($A1054:$AD1054,$AG$4)="",0,IF(INDEX($A1054:$AD1054,$AG$6)&lt;&gt;"NON-COMPLIED",0,IF(COUNTIFS(INDEX($A$3:$AD$1054,0,$AG$4),INDEX($A1054:$AD1054,$AG$4),INDEX($A$3:$AD$1054,0,$AG$6),"NON-COMPLIED")=1,1,0)))))</f>
        <v>0</v>
      </c>
    </row>
    <row r="1055" customFormat="false" ht="15" hidden="false" customHeight="false" outlineLevel="0" collapsed="false">
      <c r="AH1055" s="21" t="n">
        <f aca="false">IF($AG$4=0,0,IF($AG$6=0,0,IF(INDEX($A1055:$AD1055,$AG$4)="",0,IF(INDEX($A1055:$AD1055,$AG$6)&lt;&gt;"NON-COMPLIED",0,IF(COUNTIFS(INDEX($A$3:$AD$1055,0,$AG$4),INDEX($A1055:$AD1055,$AG$4),INDEX($A$3:$AD$1055,0,$AG$6),"NON-COMPLIED")=1,1,0)))))</f>
        <v>0</v>
      </c>
    </row>
    <row r="1056" customFormat="false" ht="15" hidden="false" customHeight="false" outlineLevel="0" collapsed="false">
      <c r="AH1056" s="21" t="n">
        <f aca="false">IF($AG$4=0,0,IF($AG$6=0,0,IF(INDEX($A1056:$AD1056,$AG$4)="",0,IF(INDEX($A1056:$AD1056,$AG$6)&lt;&gt;"NON-COMPLIED",0,IF(COUNTIFS(INDEX($A$3:$AD$1056,0,$AG$4),INDEX($A1056:$AD1056,$AG$4),INDEX($A$3:$AD$1056,0,$AG$6),"NON-COMPLIED")=1,1,0)))))</f>
        <v>0</v>
      </c>
    </row>
    <row r="1057" customFormat="false" ht="15" hidden="false" customHeight="false" outlineLevel="0" collapsed="false">
      <c r="AH1057" s="21" t="n">
        <f aca="false">IF($AG$4=0,0,IF($AG$6=0,0,IF(INDEX($A1057:$AD1057,$AG$4)="",0,IF(INDEX($A1057:$AD1057,$AG$6)&lt;&gt;"NON-COMPLIED",0,IF(COUNTIFS(INDEX($A$3:$AD$1057,0,$AG$4),INDEX($A1057:$AD1057,$AG$4),INDEX($A$3:$AD$1057,0,$AG$6),"NON-COMPLIED")=1,1,0)))))</f>
        <v>0</v>
      </c>
    </row>
    <row r="1058" customFormat="false" ht="15" hidden="false" customHeight="false" outlineLevel="0" collapsed="false">
      <c r="AH1058" s="21" t="n">
        <f aca="false">IF($AG$4=0,0,IF($AG$6=0,0,IF(INDEX($A1058:$AD1058,$AG$4)="",0,IF(INDEX($A1058:$AD1058,$AG$6)&lt;&gt;"NON-COMPLIED",0,IF(COUNTIFS(INDEX($A$3:$AD$1058,0,$AG$4),INDEX($A1058:$AD1058,$AG$4),INDEX($A$3:$AD$1058,0,$AG$6),"NON-COMPLIED")=1,1,0)))))</f>
        <v>0</v>
      </c>
    </row>
    <row r="1059" customFormat="false" ht="15" hidden="false" customHeight="false" outlineLevel="0" collapsed="false">
      <c r="AH1059" s="21" t="n">
        <f aca="false">IF($AG$4=0,0,IF($AG$6=0,0,IF(INDEX($A1059:$AD1059,$AG$4)="",0,IF(INDEX($A1059:$AD1059,$AG$6)&lt;&gt;"NON-COMPLIED",0,IF(COUNTIFS(INDEX($A$3:$AD$1059,0,$AG$4),INDEX($A1059:$AD1059,$AG$4),INDEX($A$3:$AD$1059,0,$AG$6),"NON-COMPLIED")=1,1,0)))))</f>
        <v>0</v>
      </c>
    </row>
    <row r="1060" customFormat="false" ht="15" hidden="false" customHeight="false" outlineLevel="0" collapsed="false">
      <c r="AH1060" s="21" t="n">
        <f aca="false">IF($AG$4=0,0,IF($AG$6=0,0,IF(INDEX($A1060:$AD1060,$AG$4)="",0,IF(INDEX($A1060:$AD1060,$AG$6)&lt;&gt;"NON-COMPLIED",0,IF(COUNTIFS(INDEX($A$3:$AD$1060,0,$AG$4),INDEX($A1060:$AD1060,$AG$4),INDEX($A$3:$AD$1060,0,$AG$6),"NON-COMPLIED")=1,1,0)))))</f>
        <v>0</v>
      </c>
    </row>
    <row r="1061" customFormat="false" ht="15" hidden="false" customHeight="false" outlineLevel="0" collapsed="false">
      <c r="AH1061" s="21" t="n">
        <f aca="false">IF($AG$4=0,0,IF($AG$6=0,0,IF(INDEX($A1061:$AD1061,$AG$4)="",0,IF(INDEX($A1061:$AD1061,$AG$6)&lt;&gt;"NON-COMPLIED",0,IF(COUNTIFS(INDEX($A$3:$AD$1061,0,$AG$4),INDEX($A1061:$AD1061,$AG$4),INDEX($A$3:$AD$1061,0,$AG$6),"NON-COMPLIED")=1,1,0)))))</f>
        <v>0</v>
      </c>
    </row>
    <row r="1062" customFormat="false" ht="15" hidden="false" customHeight="false" outlineLevel="0" collapsed="false">
      <c r="AH1062" s="21" t="n">
        <f aca="false">IF($AG$4=0,0,IF($AG$6=0,0,IF(INDEX($A1062:$AD1062,$AG$4)="",0,IF(INDEX($A1062:$AD1062,$AG$6)&lt;&gt;"NON-COMPLIED",0,IF(COUNTIFS(INDEX($A$3:$AD$1062,0,$AG$4),INDEX($A1062:$AD1062,$AG$4),INDEX($A$3:$AD$1062,0,$AG$6),"NON-COMPLIED")=1,1,0)))))</f>
        <v>0</v>
      </c>
    </row>
    <row r="1063" customFormat="false" ht="15" hidden="false" customHeight="false" outlineLevel="0" collapsed="false">
      <c r="AH1063" s="21" t="n">
        <f aca="false">IF($AG$4=0,0,IF($AG$6=0,0,IF(INDEX($A1063:$AD1063,$AG$4)="",0,IF(INDEX($A1063:$AD1063,$AG$6)&lt;&gt;"NON-COMPLIED",0,IF(COUNTIFS(INDEX($A$3:$AD$1063,0,$AG$4),INDEX($A1063:$AD1063,$AG$4),INDEX($A$3:$AD$1063,0,$AG$6),"NON-COMPLIED")=1,1,0)))))</f>
        <v>0</v>
      </c>
    </row>
    <row r="1064" customFormat="false" ht="15" hidden="false" customHeight="false" outlineLevel="0" collapsed="false">
      <c r="AH1064" s="21" t="n">
        <f aca="false">IF($AG$4=0,0,IF($AG$6=0,0,IF(INDEX($A1064:$AD1064,$AG$4)="",0,IF(INDEX($A1064:$AD1064,$AG$6)&lt;&gt;"NON-COMPLIED",0,IF(COUNTIFS(INDEX($A$3:$AD$1064,0,$AG$4),INDEX($A1064:$AD1064,$AG$4),INDEX($A$3:$AD$1064,0,$AG$6),"NON-COMPLIED")=1,1,0)))))</f>
        <v>0</v>
      </c>
    </row>
    <row r="1065" customFormat="false" ht="15" hidden="false" customHeight="false" outlineLevel="0" collapsed="false">
      <c r="AH1065" s="21" t="n">
        <f aca="false">IF($AG$4=0,0,IF($AG$6=0,0,IF(INDEX($A1065:$AD1065,$AG$4)="",0,IF(INDEX($A1065:$AD1065,$AG$6)&lt;&gt;"NON-COMPLIED",0,IF(COUNTIFS(INDEX($A$3:$AD$1065,0,$AG$4),INDEX($A1065:$AD1065,$AG$4),INDEX($A$3:$AD$1065,0,$AG$6),"NON-COMPLIED")=1,1,0)))))</f>
        <v>0</v>
      </c>
    </row>
    <row r="1066" customFormat="false" ht="15" hidden="false" customHeight="false" outlineLevel="0" collapsed="false">
      <c r="AH1066" s="21" t="n">
        <f aca="false">IF($AG$4=0,0,IF($AG$6=0,0,IF(INDEX($A1066:$AD1066,$AG$4)="",0,IF(INDEX($A1066:$AD1066,$AG$6)&lt;&gt;"NON-COMPLIED",0,IF(COUNTIFS(INDEX($A$3:$AD$1066,0,$AG$4),INDEX($A1066:$AD1066,$AG$4),INDEX($A$3:$AD$1066,0,$AG$6),"NON-COMPLIED")=1,1,0)))))</f>
        <v>0</v>
      </c>
    </row>
    <row r="1067" customFormat="false" ht="15" hidden="false" customHeight="false" outlineLevel="0" collapsed="false">
      <c r="AH1067" s="21" t="n">
        <f aca="false">IF($AG$4=0,0,IF($AG$6=0,0,IF(INDEX($A1067:$AD1067,$AG$4)="",0,IF(INDEX($A1067:$AD1067,$AG$6)&lt;&gt;"NON-COMPLIED",0,IF(COUNTIFS(INDEX($A$3:$AD$1067,0,$AG$4),INDEX($A1067:$AD1067,$AG$4),INDEX($A$3:$AD$1067,0,$AG$6),"NON-COMPLIED")=1,1,0)))))</f>
        <v>0</v>
      </c>
    </row>
    <row r="1068" customFormat="false" ht="15" hidden="false" customHeight="false" outlineLevel="0" collapsed="false">
      <c r="AH1068" s="21" t="n">
        <f aca="false">IF($AG$4=0,0,IF($AG$6=0,0,IF(INDEX($A1068:$AD1068,$AG$4)="",0,IF(INDEX($A1068:$AD1068,$AG$6)&lt;&gt;"NON-COMPLIED",0,IF(COUNTIFS(INDEX($A$3:$AD$1068,0,$AG$4),INDEX($A1068:$AD1068,$AG$4),INDEX($A$3:$AD$1068,0,$AG$6),"NON-COMPLIED")=1,1,0)))))</f>
        <v>0</v>
      </c>
    </row>
    <row r="1069" customFormat="false" ht="15" hidden="false" customHeight="false" outlineLevel="0" collapsed="false">
      <c r="AH1069" s="21" t="n">
        <f aca="false">IF($AG$4=0,0,IF($AG$6=0,0,IF(INDEX($A1069:$AD1069,$AG$4)="",0,IF(INDEX($A1069:$AD1069,$AG$6)&lt;&gt;"NON-COMPLIED",0,IF(COUNTIFS(INDEX($A$3:$AD$1069,0,$AG$4),INDEX($A1069:$AD1069,$AG$4),INDEX($A$3:$AD$1069,0,$AG$6),"NON-COMPLIED")=1,1,0)))))</f>
        <v>0</v>
      </c>
    </row>
    <row r="1070" customFormat="false" ht="15" hidden="false" customHeight="false" outlineLevel="0" collapsed="false">
      <c r="AH1070" s="21" t="n">
        <f aca="false">IF($AG$4=0,0,IF($AG$6=0,0,IF(INDEX($A1070:$AD1070,$AG$4)="",0,IF(INDEX($A1070:$AD1070,$AG$6)&lt;&gt;"NON-COMPLIED",0,IF(COUNTIFS(INDEX($A$3:$AD$1070,0,$AG$4),INDEX($A1070:$AD1070,$AG$4),INDEX($A$3:$AD$1070,0,$AG$6),"NON-COMPLIED")=1,1,0)))))</f>
        <v>0</v>
      </c>
    </row>
    <row r="1071" customFormat="false" ht="15" hidden="false" customHeight="false" outlineLevel="0" collapsed="false">
      <c r="AH1071" s="21" t="n">
        <f aca="false">IF($AG$4=0,0,IF($AG$6=0,0,IF(INDEX($A1071:$AD1071,$AG$4)="",0,IF(INDEX($A1071:$AD1071,$AG$6)&lt;&gt;"NON-COMPLIED",0,IF(COUNTIFS(INDEX($A$3:$AD$1071,0,$AG$4),INDEX($A1071:$AD1071,$AG$4),INDEX($A$3:$AD$1071,0,$AG$6),"NON-COMPLIED")=1,1,0)))))</f>
        <v>0</v>
      </c>
    </row>
    <row r="1072" customFormat="false" ht="15" hidden="false" customHeight="false" outlineLevel="0" collapsed="false">
      <c r="AH1072" s="21" t="n">
        <f aca="false">IF($AG$4=0,0,IF($AG$6=0,0,IF(INDEX($A1072:$AD1072,$AG$4)="",0,IF(INDEX($A1072:$AD1072,$AG$6)&lt;&gt;"NON-COMPLIED",0,IF(COUNTIFS(INDEX($A$3:$AD$1072,0,$AG$4),INDEX($A1072:$AD1072,$AG$4),INDEX($A$3:$AD$1072,0,$AG$6),"NON-COMPLIED")=1,1,0)))))</f>
        <v>0</v>
      </c>
    </row>
    <row r="1073" customFormat="false" ht="15" hidden="false" customHeight="false" outlineLevel="0" collapsed="false">
      <c r="AH1073" s="21" t="n">
        <f aca="false">IF($AG$4=0,0,IF($AG$6=0,0,IF(INDEX($A1073:$AD1073,$AG$4)="",0,IF(INDEX($A1073:$AD1073,$AG$6)&lt;&gt;"NON-COMPLIED",0,IF(COUNTIFS(INDEX($A$3:$AD$1073,0,$AG$4),INDEX($A1073:$AD1073,$AG$4),INDEX($A$3:$AD$1073,0,$AG$6),"NON-COMPLIED")=1,1,0)))))</f>
        <v>0</v>
      </c>
    </row>
    <row r="1074" customFormat="false" ht="15" hidden="false" customHeight="false" outlineLevel="0" collapsed="false">
      <c r="AH1074" s="21" t="n">
        <f aca="false">IF($AG$4=0,0,IF($AG$6=0,0,IF(INDEX($A1074:$AD1074,$AG$4)="",0,IF(INDEX($A1074:$AD1074,$AG$6)&lt;&gt;"NON-COMPLIED",0,IF(COUNTIFS(INDEX($A$3:$AD$1074,0,$AG$4),INDEX($A1074:$AD1074,$AG$4),INDEX($A$3:$AD$1074,0,$AG$6),"NON-COMPLIED")=1,1,0)))))</f>
        <v>0</v>
      </c>
    </row>
    <row r="1075" customFormat="false" ht="15" hidden="false" customHeight="false" outlineLevel="0" collapsed="false">
      <c r="AH1075" s="21" t="n">
        <f aca="false">IF($AG$4=0,0,IF($AG$6=0,0,IF(INDEX($A1075:$AD1075,$AG$4)="",0,IF(INDEX($A1075:$AD1075,$AG$6)&lt;&gt;"NON-COMPLIED",0,IF(COUNTIFS(INDEX($A$3:$AD$1075,0,$AG$4),INDEX($A1075:$AD1075,$AG$4),INDEX($A$3:$AD$1075,0,$AG$6),"NON-COMPLIED")=1,1,0)))))</f>
        <v>0</v>
      </c>
    </row>
    <row r="1076" customFormat="false" ht="15" hidden="false" customHeight="false" outlineLevel="0" collapsed="false">
      <c r="AH1076" s="21" t="n">
        <f aca="false">IF($AG$4=0,0,IF($AG$6=0,0,IF(INDEX($A1076:$AD1076,$AG$4)="",0,IF(INDEX($A1076:$AD1076,$AG$6)&lt;&gt;"NON-COMPLIED",0,IF(COUNTIFS(INDEX($A$3:$AD$1076,0,$AG$4),INDEX($A1076:$AD1076,$AG$4),INDEX($A$3:$AD$1076,0,$AG$6),"NON-COMPLIED")=1,1,0)))))</f>
        <v>0</v>
      </c>
    </row>
    <row r="1077" customFormat="false" ht="15" hidden="false" customHeight="false" outlineLevel="0" collapsed="false">
      <c r="AH1077" s="21" t="n">
        <f aca="false">IF($AG$4=0,0,IF($AG$6=0,0,IF(INDEX($A1077:$AD1077,$AG$4)="",0,IF(INDEX($A1077:$AD1077,$AG$6)&lt;&gt;"NON-COMPLIED",0,IF(COUNTIFS(INDEX($A$3:$AD$1077,0,$AG$4),INDEX($A1077:$AD1077,$AG$4),INDEX($A$3:$AD$1077,0,$AG$6),"NON-COMPLIED")=1,1,0)))))</f>
        <v>0</v>
      </c>
    </row>
    <row r="1078" customFormat="false" ht="15" hidden="false" customHeight="false" outlineLevel="0" collapsed="false">
      <c r="AH1078" s="21" t="n">
        <f aca="false">IF($AG$4=0,0,IF($AG$6=0,0,IF(INDEX($A1078:$AD1078,$AG$4)="",0,IF(INDEX($A1078:$AD1078,$AG$6)&lt;&gt;"NON-COMPLIED",0,IF(COUNTIFS(INDEX($A$3:$AD$1078,0,$AG$4),INDEX($A1078:$AD1078,$AG$4),INDEX($A$3:$AD$1078,0,$AG$6),"NON-COMPLIED")=1,1,0)))))</f>
        <v>0</v>
      </c>
    </row>
    <row r="1079" customFormat="false" ht="15" hidden="false" customHeight="false" outlineLevel="0" collapsed="false">
      <c r="AH1079" s="21" t="n">
        <f aca="false">IF($AG$4=0,0,IF($AG$6=0,0,IF(INDEX($A1079:$AD1079,$AG$4)="",0,IF(INDEX($A1079:$AD1079,$AG$6)&lt;&gt;"NON-COMPLIED",0,IF(COUNTIFS(INDEX($A$3:$AD$1079,0,$AG$4),INDEX($A1079:$AD1079,$AG$4),INDEX($A$3:$AD$1079,0,$AG$6),"NON-COMPLIED")=1,1,0)))))</f>
        <v>0</v>
      </c>
    </row>
    <row r="1080" customFormat="false" ht="15" hidden="false" customHeight="false" outlineLevel="0" collapsed="false">
      <c r="AH1080" s="21" t="n">
        <f aca="false">IF($AG$4=0,0,IF($AG$6=0,0,IF(INDEX($A1080:$AD1080,$AG$4)="",0,IF(INDEX($A1080:$AD1080,$AG$6)&lt;&gt;"NON-COMPLIED",0,IF(COUNTIFS(INDEX($A$3:$AD$1080,0,$AG$4),INDEX($A1080:$AD1080,$AG$4),INDEX($A$3:$AD$1080,0,$AG$6),"NON-COMPLIED")=1,1,0)))))</f>
        <v>0</v>
      </c>
    </row>
    <row r="1081" customFormat="false" ht="15" hidden="false" customHeight="false" outlineLevel="0" collapsed="false">
      <c r="AH1081" s="21" t="n">
        <f aca="false">IF($AG$4=0,0,IF($AG$6=0,0,IF(INDEX($A1081:$AD1081,$AG$4)="",0,IF(INDEX($A1081:$AD1081,$AG$6)&lt;&gt;"NON-COMPLIED",0,IF(COUNTIFS(INDEX($A$3:$AD$1081,0,$AG$4),INDEX($A1081:$AD1081,$AG$4),INDEX($A$3:$AD$1081,0,$AG$6),"NON-COMPLIED")=1,1,0)))))</f>
        <v>0</v>
      </c>
    </row>
    <row r="1082" customFormat="false" ht="15" hidden="false" customHeight="false" outlineLevel="0" collapsed="false">
      <c r="AH1082" s="21" t="n">
        <f aca="false">IF($AG$4=0,0,IF($AG$6=0,0,IF(INDEX($A1082:$AD1082,$AG$4)="",0,IF(INDEX($A1082:$AD1082,$AG$6)&lt;&gt;"NON-COMPLIED",0,IF(COUNTIFS(INDEX($A$3:$AD$1082,0,$AG$4),INDEX($A1082:$AD1082,$AG$4),INDEX($A$3:$AD$1082,0,$AG$6),"NON-COMPLIED")=1,1,0)))))</f>
        <v>0</v>
      </c>
    </row>
    <row r="1083" customFormat="false" ht="15" hidden="false" customHeight="false" outlineLevel="0" collapsed="false">
      <c r="AH1083" s="21" t="n">
        <f aca="false">IF($AG$4=0,0,IF($AG$6=0,0,IF(INDEX($A1083:$AD1083,$AG$4)="",0,IF(INDEX($A1083:$AD1083,$AG$6)&lt;&gt;"NON-COMPLIED",0,IF(COUNTIFS(INDEX($A$3:$AD$1083,0,$AG$4),INDEX($A1083:$AD1083,$AG$4),INDEX($A$3:$AD$1083,0,$AG$6),"NON-COMPLIED")=1,1,0)))))</f>
        <v>0</v>
      </c>
    </row>
    <row r="1084" customFormat="false" ht="15" hidden="false" customHeight="false" outlineLevel="0" collapsed="false">
      <c r="AH1084" s="21" t="n">
        <f aca="false">IF($AG$4=0,0,IF($AG$6=0,0,IF(INDEX($A1084:$AD1084,$AG$4)="",0,IF(INDEX($A1084:$AD1084,$AG$6)&lt;&gt;"NON-COMPLIED",0,IF(COUNTIFS(INDEX($A$3:$AD$1084,0,$AG$4),INDEX($A1084:$AD1084,$AG$4),INDEX($A$3:$AD$1084,0,$AG$6),"NON-COMPLIED")=1,1,0)))))</f>
        <v>0</v>
      </c>
    </row>
    <row r="1085" customFormat="false" ht="15" hidden="false" customHeight="false" outlineLevel="0" collapsed="false">
      <c r="AH1085" s="21" t="n">
        <f aca="false">IF($AG$4=0,0,IF($AG$6=0,0,IF(INDEX($A1085:$AD1085,$AG$4)="",0,IF(INDEX($A1085:$AD1085,$AG$6)&lt;&gt;"NON-COMPLIED",0,IF(COUNTIFS(INDEX($A$3:$AD$1085,0,$AG$4),INDEX($A1085:$AD1085,$AG$4),INDEX($A$3:$AD$1085,0,$AG$6),"NON-COMPLIED")=1,1,0)))))</f>
        <v>0</v>
      </c>
    </row>
    <row r="1086" customFormat="false" ht="15" hidden="false" customHeight="false" outlineLevel="0" collapsed="false">
      <c r="AH1086" s="21" t="n">
        <f aca="false">IF($AG$4=0,0,IF($AG$6=0,0,IF(INDEX($A1086:$AD1086,$AG$4)="",0,IF(INDEX($A1086:$AD1086,$AG$6)&lt;&gt;"NON-COMPLIED",0,IF(COUNTIFS(INDEX($A$3:$AD$1086,0,$AG$4),INDEX($A1086:$AD1086,$AG$4),INDEX($A$3:$AD$1086,0,$AG$6),"NON-COMPLIED")=1,1,0)))))</f>
        <v>0</v>
      </c>
    </row>
    <row r="1087" customFormat="false" ht="15" hidden="false" customHeight="false" outlineLevel="0" collapsed="false">
      <c r="AH1087" s="21" t="n">
        <f aca="false">IF($AG$4=0,0,IF($AG$6=0,0,IF(INDEX($A1087:$AD1087,$AG$4)="",0,IF(INDEX($A1087:$AD1087,$AG$6)&lt;&gt;"NON-COMPLIED",0,IF(COUNTIFS(INDEX($A$3:$AD$1087,0,$AG$4),INDEX($A1087:$AD1087,$AG$4),INDEX($A$3:$AD$1087,0,$AG$6),"NON-COMPLIED")=1,1,0)))))</f>
        <v>0</v>
      </c>
    </row>
    <row r="1088" customFormat="false" ht="15" hidden="false" customHeight="false" outlineLevel="0" collapsed="false">
      <c r="AH1088" s="21" t="n">
        <f aca="false">IF($AG$4=0,0,IF($AG$6=0,0,IF(INDEX($A1088:$AD1088,$AG$4)="",0,IF(INDEX($A1088:$AD1088,$AG$6)&lt;&gt;"NON-COMPLIED",0,IF(COUNTIFS(INDEX($A$3:$AD$1088,0,$AG$4),INDEX($A1088:$AD1088,$AG$4),INDEX($A$3:$AD$1088,0,$AG$6),"NON-COMPLIED")=1,1,0)))))</f>
        <v>0</v>
      </c>
    </row>
    <row r="1089" customFormat="false" ht="15" hidden="false" customHeight="false" outlineLevel="0" collapsed="false">
      <c r="AH1089" s="21" t="n">
        <f aca="false">IF($AG$4=0,0,IF($AG$6=0,0,IF(INDEX($A1089:$AD1089,$AG$4)="",0,IF(INDEX($A1089:$AD1089,$AG$6)&lt;&gt;"NON-COMPLIED",0,IF(COUNTIFS(INDEX($A$3:$AD$1089,0,$AG$4),INDEX($A1089:$AD1089,$AG$4),INDEX($A$3:$AD$1089,0,$AG$6),"NON-COMPLIED")=1,1,0)))))</f>
        <v>0</v>
      </c>
    </row>
    <row r="1090" customFormat="false" ht="15" hidden="false" customHeight="false" outlineLevel="0" collapsed="false">
      <c r="AH1090" s="21" t="n">
        <f aca="false">IF($AG$4=0,0,IF($AG$6=0,0,IF(INDEX($A1090:$AD1090,$AG$4)="",0,IF(INDEX($A1090:$AD1090,$AG$6)&lt;&gt;"NON-COMPLIED",0,IF(COUNTIFS(INDEX($A$3:$AD$1090,0,$AG$4),INDEX($A1090:$AD1090,$AG$4),INDEX($A$3:$AD$1090,0,$AG$6),"NON-COMPLIED")=1,1,0)))))</f>
        <v>0</v>
      </c>
    </row>
    <row r="1091" customFormat="false" ht="15" hidden="false" customHeight="false" outlineLevel="0" collapsed="false">
      <c r="AH1091" s="21" t="n">
        <f aca="false">IF($AG$4=0,0,IF($AG$6=0,0,IF(INDEX($A1091:$AD1091,$AG$4)="",0,IF(INDEX($A1091:$AD1091,$AG$6)&lt;&gt;"NON-COMPLIED",0,IF(COUNTIFS(INDEX($A$3:$AD$1091,0,$AG$4),INDEX($A1091:$AD1091,$AG$4),INDEX($A$3:$AD$1091,0,$AG$6),"NON-COMPLIED")=1,1,0)))))</f>
        <v>0</v>
      </c>
    </row>
    <row r="1092" customFormat="false" ht="15" hidden="false" customHeight="false" outlineLevel="0" collapsed="false">
      <c r="AH1092" s="21" t="n">
        <f aca="false">IF($AG$4=0,0,IF($AG$6=0,0,IF(INDEX($A1092:$AD1092,$AG$4)="",0,IF(INDEX($A1092:$AD1092,$AG$6)&lt;&gt;"NON-COMPLIED",0,IF(COUNTIFS(INDEX($A$3:$AD$1092,0,$AG$4),INDEX($A1092:$AD1092,$AG$4),INDEX($A$3:$AD$1092,0,$AG$6),"NON-COMPLIED")=1,1,0)))))</f>
        <v>0</v>
      </c>
    </row>
    <row r="1093" customFormat="false" ht="15" hidden="false" customHeight="false" outlineLevel="0" collapsed="false">
      <c r="AH1093" s="21" t="n">
        <f aca="false">IF($AG$4=0,0,IF($AG$6=0,0,IF(INDEX($A1093:$AD1093,$AG$4)="",0,IF(INDEX($A1093:$AD1093,$AG$6)&lt;&gt;"NON-COMPLIED",0,IF(COUNTIFS(INDEX($A$3:$AD$1093,0,$AG$4),INDEX($A1093:$AD1093,$AG$4),INDEX($A$3:$AD$1093,0,$AG$6),"NON-COMPLIED")=1,1,0)))))</f>
        <v>0</v>
      </c>
    </row>
    <row r="1094" customFormat="false" ht="15" hidden="false" customHeight="false" outlineLevel="0" collapsed="false">
      <c r="AH1094" s="21" t="n">
        <f aca="false">IF($AG$4=0,0,IF($AG$6=0,0,IF(INDEX($A1094:$AD1094,$AG$4)="",0,IF(INDEX($A1094:$AD1094,$AG$6)&lt;&gt;"NON-COMPLIED",0,IF(COUNTIFS(INDEX($A$3:$AD$1094,0,$AG$4),INDEX($A1094:$AD1094,$AG$4),INDEX($A$3:$AD$1094,0,$AG$6),"NON-COMPLIED")=1,1,0)))))</f>
        <v>0</v>
      </c>
    </row>
    <row r="1095" customFormat="false" ht="15" hidden="false" customHeight="false" outlineLevel="0" collapsed="false">
      <c r="AH1095" s="21" t="n">
        <f aca="false">IF($AG$4=0,0,IF($AG$6=0,0,IF(INDEX($A1095:$AD1095,$AG$4)="",0,IF(INDEX($A1095:$AD1095,$AG$6)&lt;&gt;"NON-COMPLIED",0,IF(COUNTIFS(INDEX($A$3:$AD$1095,0,$AG$4),INDEX($A1095:$AD1095,$AG$4),INDEX($A$3:$AD$1095,0,$AG$6),"NON-COMPLIED")=1,1,0)))))</f>
        <v>0</v>
      </c>
    </row>
    <row r="1096" customFormat="false" ht="15" hidden="false" customHeight="false" outlineLevel="0" collapsed="false">
      <c r="AH1096" s="21" t="n">
        <f aca="false">IF($AG$4=0,0,IF($AG$6=0,0,IF(INDEX($A1096:$AD1096,$AG$4)="",0,IF(INDEX($A1096:$AD1096,$AG$6)&lt;&gt;"NON-COMPLIED",0,IF(COUNTIFS(INDEX($A$3:$AD$1096,0,$AG$4),INDEX($A1096:$AD1096,$AG$4),INDEX($A$3:$AD$1096,0,$AG$6),"NON-COMPLIED")=1,1,0)))))</f>
        <v>0</v>
      </c>
    </row>
    <row r="1097" customFormat="false" ht="15" hidden="false" customHeight="false" outlineLevel="0" collapsed="false">
      <c r="AH1097" s="21" t="n">
        <f aca="false">IF($AG$4=0,0,IF($AG$6=0,0,IF(INDEX($A1097:$AD1097,$AG$4)="",0,IF(INDEX($A1097:$AD1097,$AG$6)&lt;&gt;"NON-COMPLIED",0,IF(COUNTIFS(INDEX($A$3:$AD$1097,0,$AG$4),INDEX($A1097:$AD1097,$AG$4),INDEX($A$3:$AD$1097,0,$AG$6),"NON-COMPLIED")=1,1,0)))))</f>
        <v>0</v>
      </c>
    </row>
    <row r="1098" customFormat="false" ht="15" hidden="false" customHeight="false" outlineLevel="0" collapsed="false">
      <c r="AH1098" s="21" t="n">
        <f aca="false">IF($AG$4=0,0,IF($AG$6=0,0,IF(INDEX($A1098:$AD1098,$AG$4)="",0,IF(INDEX($A1098:$AD1098,$AG$6)&lt;&gt;"NON-COMPLIED",0,IF(COUNTIFS(INDEX($A$3:$AD$1098,0,$AG$4),INDEX($A1098:$AD1098,$AG$4),INDEX($A$3:$AD$1098,0,$AG$6),"NON-COMPLIED")=1,1,0)))))</f>
        <v>0</v>
      </c>
    </row>
    <row r="1099" customFormat="false" ht="15" hidden="false" customHeight="false" outlineLevel="0" collapsed="false">
      <c r="AH1099" s="21" t="n">
        <f aca="false">IF($AG$4=0,0,IF($AG$6=0,0,IF(INDEX($A1099:$AD1099,$AG$4)="",0,IF(INDEX($A1099:$AD1099,$AG$6)&lt;&gt;"NON-COMPLIED",0,IF(COUNTIFS(INDEX($A$3:$AD$1099,0,$AG$4),INDEX($A1099:$AD1099,$AG$4),INDEX($A$3:$AD$1099,0,$AG$6),"NON-COMPLIED")=1,1,0)))))</f>
        <v>0</v>
      </c>
    </row>
    <row r="1100" customFormat="false" ht="15" hidden="false" customHeight="false" outlineLevel="0" collapsed="false">
      <c r="AH1100" s="21" t="n">
        <f aca="false">IF($AG$4=0,0,IF($AG$6=0,0,IF(INDEX($A1100:$AD1100,$AG$4)="",0,IF(INDEX($A1100:$AD1100,$AG$6)&lt;&gt;"NON-COMPLIED",0,IF(COUNTIFS(INDEX($A$3:$AD$1100,0,$AG$4),INDEX($A1100:$AD1100,$AG$4),INDEX($A$3:$AD$1100,0,$AG$6),"NON-COMPLIED")=1,1,0)))))</f>
        <v>0</v>
      </c>
    </row>
    <row r="1101" customFormat="false" ht="15" hidden="false" customHeight="false" outlineLevel="0" collapsed="false">
      <c r="AH1101" s="21" t="n">
        <f aca="false">IF($AG$4=0,0,IF($AG$6=0,0,IF(INDEX($A1101:$AD1101,$AG$4)="",0,IF(INDEX($A1101:$AD1101,$AG$6)&lt;&gt;"NON-COMPLIED",0,IF(COUNTIFS(INDEX($A$3:$AD$1101,0,$AG$4),INDEX($A1101:$AD1101,$AG$4),INDEX($A$3:$AD$1101,0,$AG$6),"NON-COMPLIED")=1,1,0)))))</f>
        <v>0</v>
      </c>
    </row>
    <row r="1102" customFormat="false" ht="15" hidden="false" customHeight="false" outlineLevel="0" collapsed="false">
      <c r="AH1102" s="21" t="n">
        <f aca="false">IF($AG$4=0,0,IF($AG$6=0,0,IF(INDEX($A1102:$AD1102,$AG$4)="",0,IF(INDEX($A1102:$AD1102,$AG$6)&lt;&gt;"NON-COMPLIED",0,IF(COUNTIFS(INDEX($A$3:$AD$1102,0,$AG$4),INDEX($A1102:$AD1102,$AG$4),INDEX($A$3:$AD$1102,0,$AG$6),"NON-COMPLIED")=1,1,0)))))</f>
        <v>0</v>
      </c>
    </row>
    <row r="1103" customFormat="false" ht="15" hidden="false" customHeight="false" outlineLevel="0" collapsed="false">
      <c r="AH1103" s="21" t="n">
        <f aca="false">IF($AG$4=0,0,IF($AG$6=0,0,IF(INDEX($A1103:$AD1103,$AG$4)="",0,IF(INDEX($A1103:$AD1103,$AG$6)&lt;&gt;"NON-COMPLIED",0,IF(COUNTIFS(INDEX($A$3:$AD$1103,0,$AG$4),INDEX($A1103:$AD1103,$AG$4),INDEX($A$3:$AD$1103,0,$AG$6),"NON-COMPLIED")=1,1,0)))))</f>
        <v>0</v>
      </c>
    </row>
    <row r="1104" customFormat="false" ht="15" hidden="false" customHeight="false" outlineLevel="0" collapsed="false">
      <c r="AH1104" s="21" t="n">
        <f aca="false">IF($AG$4=0,0,IF($AG$6=0,0,IF(INDEX($A1104:$AD1104,$AG$4)="",0,IF(INDEX($A1104:$AD1104,$AG$6)&lt;&gt;"NON-COMPLIED",0,IF(COUNTIFS(INDEX($A$3:$AD$1104,0,$AG$4),INDEX($A1104:$AD1104,$AG$4),INDEX($A$3:$AD$1104,0,$AG$6),"NON-COMPLIED")=1,1,0)))))</f>
        <v>0</v>
      </c>
    </row>
    <row r="1105" customFormat="false" ht="15" hidden="false" customHeight="false" outlineLevel="0" collapsed="false">
      <c r="AH1105" s="21" t="n">
        <f aca="false">IF($AG$4=0,0,IF($AG$6=0,0,IF(INDEX($A1105:$AD1105,$AG$4)="",0,IF(INDEX($A1105:$AD1105,$AG$6)&lt;&gt;"NON-COMPLIED",0,IF(COUNTIFS(INDEX($A$3:$AD$1105,0,$AG$4),INDEX($A1105:$AD1105,$AG$4),INDEX($A$3:$AD$1105,0,$AG$6),"NON-COMPLIED")=1,1,0)))))</f>
        <v>0</v>
      </c>
    </row>
    <row r="1106" customFormat="false" ht="15" hidden="false" customHeight="false" outlineLevel="0" collapsed="false">
      <c r="AH1106" s="21" t="n">
        <f aca="false">IF($AG$4=0,0,IF($AG$6=0,0,IF(INDEX($A1106:$AD1106,$AG$4)="",0,IF(INDEX($A1106:$AD1106,$AG$6)&lt;&gt;"NON-COMPLIED",0,IF(COUNTIFS(INDEX($A$3:$AD$1106,0,$AG$4),INDEX($A1106:$AD1106,$AG$4),INDEX($A$3:$AD$1106,0,$AG$6),"NON-COMPLIED")=1,1,0)))))</f>
        <v>0</v>
      </c>
    </row>
    <row r="1107" customFormat="false" ht="15" hidden="false" customHeight="false" outlineLevel="0" collapsed="false">
      <c r="AH1107" s="21" t="n">
        <f aca="false">IF($AG$4=0,0,IF($AG$6=0,0,IF(INDEX($A1107:$AD1107,$AG$4)="",0,IF(INDEX($A1107:$AD1107,$AG$6)&lt;&gt;"NON-COMPLIED",0,IF(COUNTIFS(INDEX($A$3:$AD$1107,0,$AG$4),INDEX($A1107:$AD1107,$AG$4),INDEX($A$3:$AD$1107,0,$AG$6),"NON-COMPLIED")=1,1,0)))))</f>
        <v>0</v>
      </c>
    </row>
    <row r="1108" customFormat="false" ht="15" hidden="false" customHeight="false" outlineLevel="0" collapsed="false">
      <c r="AH1108" s="21" t="n">
        <f aca="false">IF($AG$4=0,0,IF($AG$6=0,0,IF(INDEX($A1108:$AD1108,$AG$4)="",0,IF(INDEX($A1108:$AD1108,$AG$6)&lt;&gt;"NON-COMPLIED",0,IF(COUNTIFS(INDEX($A$3:$AD$1108,0,$AG$4),INDEX($A1108:$AD1108,$AG$4),INDEX($A$3:$AD$1108,0,$AG$6),"NON-COMPLIED")=1,1,0)))))</f>
        <v>0</v>
      </c>
    </row>
    <row r="1109" customFormat="false" ht="15" hidden="false" customHeight="false" outlineLevel="0" collapsed="false">
      <c r="AH1109" s="21" t="n">
        <f aca="false">IF($AG$4=0,0,IF($AG$6=0,0,IF(INDEX($A1109:$AD1109,$AG$4)="",0,IF(INDEX($A1109:$AD1109,$AG$6)&lt;&gt;"NON-COMPLIED",0,IF(COUNTIFS(INDEX($A$3:$AD$1109,0,$AG$4),INDEX($A1109:$AD1109,$AG$4),INDEX($A$3:$AD$1109,0,$AG$6),"NON-COMPLIED")=1,1,0)))))</f>
        <v>0</v>
      </c>
    </row>
    <row r="1110" customFormat="false" ht="15" hidden="false" customHeight="false" outlineLevel="0" collapsed="false">
      <c r="AH1110" s="21" t="n">
        <f aca="false">IF($AG$4=0,0,IF($AG$6=0,0,IF(INDEX($A1110:$AD1110,$AG$4)="",0,IF(INDEX($A1110:$AD1110,$AG$6)&lt;&gt;"NON-COMPLIED",0,IF(COUNTIFS(INDEX($A$3:$AD$1110,0,$AG$4),INDEX($A1110:$AD1110,$AG$4),INDEX($A$3:$AD$1110,0,$AG$6),"NON-COMPLIED")=1,1,0)))))</f>
        <v>0</v>
      </c>
    </row>
    <row r="1111" customFormat="false" ht="15" hidden="false" customHeight="false" outlineLevel="0" collapsed="false">
      <c r="AH1111" s="21" t="n">
        <f aca="false">IF($AG$4=0,0,IF($AG$6=0,0,IF(INDEX($A1111:$AD1111,$AG$4)="",0,IF(INDEX($A1111:$AD1111,$AG$6)&lt;&gt;"NON-COMPLIED",0,IF(COUNTIFS(INDEX($A$3:$AD$1111,0,$AG$4),INDEX($A1111:$AD1111,$AG$4),INDEX($A$3:$AD$1111,0,$AG$6),"NON-COMPLIED")=1,1,0)))))</f>
        <v>0</v>
      </c>
    </row>
    <row r="1112" customFormat="false" ht="15" hidden="false" customHeight="false" outlineLevel="0" collapsed="false">
      <c r="AH1112" s="21" t="n">
        <f aca="false">IF($AG$4=0,0,IF($AG$6=0,0,IF(INDEX($A1112:$AD1112,$AG$4)="",0,IF(INDEX($A1112:$AD1112,$AG$6)&lt;&gt;"NON-COMPLIED",0,IF(COUNTIFS(INDEX($A$3:$AD$1112,0,$AG$4),INDEX($A1112:$AD1112,$AG$4),INDEX($A$3:$AD$1112,0,$AG$6),"NON-COMPLIED")=1,1,0)))))</f>
        <v>0</v>
      </c>
    </row>
    <row r="1113" customFormat="false" ht="15" hidden="false" customHeight="false" outlineLevel="0" collapsed="false">
      <c r="AH1113" s="21" t="n">
        <f aca="false">IF($AG$4=0,0,IF($AG$6=0,0,IF(INDEX($A1113:$AD1113,$AG$4)="",0,IF(INDEX($A1113:$AD1113,$AG$6)&lt;&gt;"NON-COMPLIED",0,IF(COUNTIFS(INDEX($A$3:$AD$1113,0,$AG$4),INDEX($A1113:$AD1113,$AG$4),INDEX($A$3:$AD$1113,0,$AG$6),"NON-COMPLIED")=1,1,0)))))</f>
        <v>0</v>
      </c>
    </row>
    <row r="1114" customFormat="false" ht="15" hidden="false" customHeight="false" outlineLevel="0" collapsed="false">
      <c r="AH1114" s="21" t="n">
        <f aca="false">IF($AG$4=0,0,IF($AG$6=0,0,IF(INDEX($A1114:$AD1114,$AG$4)="",0,IF(INDEX($A1114:$AD1114,$AG$6)&lt;&gt;"NON-COMPLIED",0,IF(COUNTIFS(INDEX($A$3:$AD$1114,0,$AG$4),INDEX($A1114:$AD1114,$AG$4),INDEX($A$3:$AD$1114,0,$AG$6),"NON-COMPLIED")=1,1,0)))))</f>
        <v>0</v>
      </c>
    </row>
    <row r="1115" customFormat="false" ht="15" hidden="false" customHeight="false" outlineLevel="0" collapsed="false">
      <c r="AH1115" s="21" t="n">
        <f aca="false">IF($AG$4=0,0,IF($AG$6=0,0,IF(INDEX($A1115:$AD1115,$AG$4)="",0,IF(INDEX($A1115:$AD1115,$AG$6)&lt;&gt;"NON-COMPLIED",0,IF(COUNTIFS(INDEX($A$3:$AD$1115,0,$AG$4),INDEX($A1115:$AD1115,$AG$4),INDEX($A$3:$AD$1115,0,$AG$6),"NON-COMPLIED")=1,1,0)))))</f>
        <v>0</v>
      </c>
    </row>
    <row r="1116" customFormat="false" ht="15" hidden="false" customHeight="false" outlineLevel="0" collapsed="false">
      <c r="AH1116" s="21" t="n">
        <f aca="false">IF($AG$4=0,0,IF($AG$6=0,0,IF(INDEX($A1116:$AD1116,$AG$4)="",0,IF(INDEX($A1116:$AD1116,$AG$6)&lt;&gt;"NON-COMPLIED",0,IF(COUNTIFS(INDEX($A$3:$AD$1116,0,$AG$4),INDEX($A1116:$AD1116,$AG$4),INDEX($A$3:$AD$1116,0,$AG$6),"NON-COMPLIED")=1,1,0)))))</f>
        <v>0</v>
      </c>
    </row>
    <row r="1117" customFormat="false" ht="15" hidden="false" customHeight="false" outlineLevel="0" collapsed="false">
      <c r="AH1117" s="21" t="n">
        <f aca="false">IF($AG$4=0,0,IF($AG$6=0,0,IF(INDEX($A1117:$AD1117,$AG$4)="",0,IF(INDEX($A1117:$AD1117,$AG$6)&lt;&gt;"NON-COMPLIED",0,IF(COUNTIFS(INDEX($A$3:$AD$1117,0,$AG$4),INDEX($A1117:$AD1117,$AG$4),INDEX($A$3:$AD$1117,0,$AG$6),"NON-COMPLIED")=1,1,0)))))</f>
        <v>0</v>
      </c>
    </row>
    <row r="1118" customFormat="false" ht="15" hidden="false" customHeight="false" outlineLevel="0" collapsed="false">
      <c r="AH1118" s="21" t="n">
        <f aca="false">IF($AG$4=0,0,IF($AG$6=0,0,IF(INDEX($A1118:$AD1118,$AG$4)="",0,IF(INDEX($A1118:$AD1118,$AG$6)&lt;&gt;"NON-COMPLIED",0,IF(COUNTIFS(INDEX($A$3:$AD$1118,0,$AG$4),INDEX($A1118:$AD1118,$AG$4),INDEX($A$3:$AD$1118,0,$AG$6),"NON-COMPLIED")=1,1,0)))))</f>
        <v>0</v>
      </c>
    </row>
    <row r="1119" customFormat="false" ht="15" hidden="false" customHeight="false" outlineLevel="0" collapsed="false">
      <c r="AH1119" s="21" t="n">
        <f aca="false">IF($AG$4=0,0,IF($AG$6=0,0,IF(INDEX($A1119:$AD1119,$AG$4)="",0,IF(INDEX($A1119:$AD1119,$AG$6)&lt;&gt;"NON-COMPLIED",0,IF(COUNTIFS(INDEX($A$3:$AD$1119,0,$AG$4),INDEX($A1119:$AD1119,$AG$4),INDEX($A$3:$AD$1119,0,$AG$6),"NON-COMPLIED")=1,1,0)))))</f>
        <v>0</v>
      </c>
    </row>
    <row r="1120" customFormat="false" ht="15" hidden="false" customHeight="false" outlineLevel="0" collapsed="false">
      <c r="AH1120" s="21" t="n">
        <f aca="false">IF($AG$4=0,0,IF($AG$6=0,0,IF(INDEX($A1120:$AD1120,$AG$4)="",0,IF(INDEX($A1120:$AD1120,$AG$6)&lt;&gt;"NON-COMPLIED",0,IF(COUNTIFS(INDEX($A$3:$AD$1120,0,$AG$4),INDEX($A1120:$AD1120,$AG$4),INDEX($A$3:$AD$1120,0,$AG$6),"NON-COMPLIED")=1,1,0)))))</f>
        <v>0</v>
      </c>
    </row>
    <row r="1121" customFormat="false" ht="15" hidden="false" customHeight="false" outlineLevel="0" collapsed="false">
      <c r="AH1121" s="21" t="n">
        <f aca="false">IF($AG$4=0,0,IF($AG$6=0,0,IF(INDEX($A1121:$AD1121,$AG$4)="",0,IF(INDEX($A1121:$AD1121,$AG$6)&lt;&gt;"NON-COMPLIED",0,IF(COUNTIFS(INDEX($A$3:$AD$1121,0,$AG$4),INDEX($A1121:$AD1121,$AG$4),INDEX($A$3:$AD$1121,0,$AG$6),"NON-COMPLIED")=1,1,0)))))</f>
        <v>0</v>
      </c>
    </row>
    <row r="1122" customFormat="false" ht="15" hidden="false" customHeight="false" outlineLevel="0" collapsed="false">
      <c r="AH1122" s="21" t="n">
        <f aca="false">IF($AG$4=0,0,IF($AG$6=0,0,IF(INDEX($A1122:$AD1122,$AG$4)="",0,IF(INDEX($A1122:$AD1122,$AG$6)&lt;&gt;"NON-COMPLIED",0,IF(COUNTIFS(INDEX($A$3:$AD$1122,0,$AG$4),INDEX($A1122:$AD1122,$AG$4),INDEX($A$3:$AD$1122,0,$AG$6),"NON-COMPLIED")=1,1,0)))))</f>
        <v>0</v>
      </c>
    </row>
    <row r="1123" customFormat="false" ht="15" hidden="false" customHeight="false" outlineLevel="0" collapsed="false">
      <c r="AH1123" s="21" t="n">
        <f aca="false">IF($AG$4=0,0,IF($AG$6=0,0,IF(INDEX($A1123:$AD1123,$AG$4)="",0,IF(INDEX($A1123:$AD1123,$AG$6)&lt;&gt;"NON-COMPLIED",0,IF(COUNTIFS(INDEX($A$3:$AD$1123,0,$AG$4),INDEX($A1123:$AD1123,$AG$4),INDEX($A$3:$AD$1123,0,$AG$6),"NON-COMPLIED")=1,1,0)))))</f>
        <v>0</v>
      </c>
    </row>
    <row r="1124" customFormat="false" ht="15" hidden="false" customHeight="false" outlineLevel="0" collapsed="false">
      <c r="AH1124" s="21" t="n">
        <f aca="false">IF($AG$4=0,0,IF($AG$6=0,0,IF(INDEX($A1124:$AD1124,$AG$4)="",0,IF(INDEX($A1124:$AD1124,$AG$6)&lt;&gt;"NON-COMPLIED",0,IF(COUNTIFS(INDEX($A$3:$AD$1124,0,$AG$4),INDEX($A1124:$AD1124,$AG$4),INDEX($A$3:$AD$1124,0,$AG$6),"NON-COMPLIED")=1,1,0)))))</f>
        <v>0</v>
      </c>
    </row>
    <row r="1125" customFormat="false" ht="15" hidden="false" customHeight="false" outlineLevel="0" collapsed="false">
      <c r="AH1125" s="21" t="n">
        <f aca="false">IF($AG$4=0,0,IF($AG$6=0,0,IF(INDEX($A1125:$AD1125,$AG$4)="",0,IF(INDEX($A1125:$AD1125,$AG$6)&lt;&gt;"NON-COMPLIED",0,IF(COUNTIFS(INDEX($A$3:$AD$1125,0,$AG$4),INDEX($A1125:$AD1125,$AG$4),INDEX($A$3:$AD$1125,0,$AG$6),"NON-COMPLIED")=1,1,0)))))</f>
        <v>0</v>
      </c>
    </row>
    <row r="1126" customFormat="false" ht="15" hidden="false" customHeight="false" outlineLevel="0" collapsed="false">
      <c r="AH1126" s="21" t="n">
        <f aca="false">IF($AG$4=0,0,IF($AG$6=0,0,IF(INDEX($A1126:$AD1126,$AG$4)="",0,IF(INDEX($A1126:$AD1126,$AG$6)&lt;&gt;"NON-COMPLIED",0,IF(COUNTIFS(INDEX($A$3:$AD$1126,0,$AG$4),INDEX($A1126:$AD1126,$AG$4),INDEX($A$3:$AD$1126,0,$AG$6),"NON-COMPLIED")=1,1,0)))))</f>
        <v>0</v>
      </c>
    </row>
    <row r="1127" customFormat="false" ht="15" hidden="false" customHeight="false" outlineLevel="0" collapsed="false">
      <c r="AH1127" s="21" t="n">
        <f aca="false">IF($AG$4=0,0,IF($AG$6=0,0,IF(INDEX($A1127:$AD1127,$AG$4)="",0,IF(INDEX($A1127:$AD1127,$AG$6)&lt;&gt;"NON-COMPLIED",0,IF(COUNTIFS(INDEX($A$3:$AD$1127,0,$AG$4),INDEX($A1127:$AD1127,$AG$4),INDEX($A$3:$AD$1127,0,$AG$6),"NON-COMPLIED")=1,1,0)))))</f>
        <v>0</v>
      </c>
    </row>
    <row r="1128" customFormat="false" ht="15" hidden="false" customHeight="false" outlineLevel="0" collapsed="false">
      <c r="AH1128" s="21" t="n">
        <f aca="false">IF($AG$4=0,0,IF($AG$6=0,0,IF(INDEX($A1128:$AD1128,$AG$4)="",0,IF(INDEX($A1128:$AD1128,$AG$6)&lt;&gt;"NON-COMPLIED",0,IF(COUNTIFS(INDEX($A$3:$AD$1128,0,$AG$4),INDEX($A1128:$AD1128,$AG$4),INDEX($A$3:$AD$1128,0,$AG$6),"NON-COMPLIED")=1,1,0)))))</f>
        <v>0</v>
      </c>
    </row>
    <row r="1129" customFormat="false" ht="15" hidden="false" customHeight="false" outlineLevel="0" collapsed="false">
      <c r="AH1129" s="21" t="n">
        <f aca="false">IF($AG$4=0,0,IF($AG$6=0,0,IF(INDEX($A1129:$AD1129,$AG$4)="",0,IF(INDEX($A1129:$AD1129,$AG$6)&lt;&gt;"NON-COMPLIED",0,IF(COUNTIFS(INDEX($A$3:$AD$1129,0,$AG$4),INDEX($A1129:$AD1129,$AG$4),INDEX($A$3:$AD$1129,0,$AG$6),"NON-COMPLIED")=1,1,0)))))</f>
        <v>0</v>
      </c>
    </row>
    <row r="1130" customFormat="false" ht="15" hidden="false" customHeight="false" outlineLevel="0" collapsed="false">
      <c r="AH1130" s="21" t="n">
        <f aca="false">IF($AG$4=0,0,IF($AG$6=0,0,IF(INDEX($A1130:$AD1130,$AG$4)="",0,IF(INDEX($A1130:$AD1130,$AG$6)&lt;&gt;"NON-COMPLIED",0,IF(COUNTIFS(INDEX($A$3:$AD$1130,0,$AG$4),INDEX($A1130:$AD1130,$AG$4),INDEX($A$3:$AD$1130,0,$AG$6),"NON-COMPLIED")=1,1,0)))))</f>
        <v>0</v>
      </c>
    </row>
    <row r="1131" customFormat="false" ht="15" hidden="false" customHeight="false" outlineLevel="0" collapsed="false">
      <c r="AH1131" s="21" t="n">
        <f aca="false">IF($AG$4=0,0,IF($AG$6=0,0,IF(INDEX($A1131:$AD1131,$AG$4)="",0,IF(INDEX($A1131:$AD1131,$AG$6)&lt;&gt;"NON-COMPLIED",0,IF(COUNTIFS(INDEX($A$3:$AD$1131,0,$AG$4),INDEX($A1131:$AD1131,$AG$4),INDEX($A$3:$AD$1131,0,$AG$6),"NON-COMPLIED")=1,1,0)))))</f>
        <v>0</v>
      </c>
    </row>
    <row r="1132" customFormat="false" ht="15" hidden="false" customHeight="false" outlineLevel="0" collapsed="false">
      <c r="AH1132" s="21" t="n">
        <f aca="false">IF($AG$4=0,0,IF($AG$6=0,0,IF(INDEX($A1132:$AD1132,$AG$4)="",0,IF(INDEX($A1132:$AD1132,$AG$6)&lt;&gt;"NON-COMPLIED",0,IF(COUNTIFS(INDEX($A$3:$AD$1132,0,$AG$4),INDEX($A1132:$AD1132,$AG$4),INDEX($A$3:$AD$1132,0,$AG$6),"NON-COMPLIED")=1,1,0)))))</f>
        <v>0</v>
      </c>
    </row>
    <row r="1133" customFormat="false" ht="15" hidden="false" customHeight="false" outlineLevel="0" collapsed="false">
      <c r="AH1133" s="21" t="n">
        <f aca="false">IF($AG$4=0,0,IF($AG$6=0,0,IF(INDEX($A1133:$AD1133,$AG$4)="",0,IF(INDEX($A1133:$AD1133,$AG$6)&lt;&gt;"NON-COMPLIED",0,IF(COUNTIFS(INDEX($A$3:$AD$1133,0,$AG$4),INDEX($A1133:$AD1133,$AG$4),INDEX($A$3:$AD$1133,0,$AG$6),"NON-COMPLIED")=1,1,0)))))</f>
        <v>0</v>
      </c>
    </row>
    <row r="1134" customFormat="false" ht="15" hidden="false" customHeight="false" outlineLevel="0" collapsed="false">
      <c r="AH1134" s="21" t="n">
        <f aca="false">IF($AG$4=0,0,IF($AG$6=0,0,IF(INDEX($A1134:$AD1134,$AG$4)="",0,IF(INDEX($A1134:$AD1134,$AG$6)&lt;&gt;"NON-COMPLIED",0,IF(COUNTIFS(INDEX($A$3:$AD$1134,0,$AG$4),INDEX($A1134:$AD1134,$AG$4),INDEX($A$3:$AD$1134,0,$AG$6),"NON-COMPLIED")=1,1,0)))))</f>
        <v>0</v>
      </c>
    </row>
    <row r="1135" customFormat="false" ht="15" hidden="false" customHeight="false" outlineLevel="0" collapsed="false">
      <c r="AH1135" s="21" t="n">
        <f aca="false">IF($AG$4=0,0,IF($AG$6=0,0,IF(INDEX($A1135:$AD1135,$AG$4)="",0,IF(INDEX($A1135:$AD1135,$AG$6)&lt;&gt;"NON-COMPLIED",0,IF(COUNTIFS(INDEX($A$3:$AD$1135,0,$AG$4),INDEX($A1135:$AD1135,$AG$4),INDEX($A$3:$AD$1135,0,$AG$6),"NON-COMPLIED")=1,1,0)))))</f>
        <v>0</v>
      </c>
    </row>
    <row r="1136" customFormat="false" ht="15" hidden="false" customHeight="false" outlineLevel="0" collapsed="false">
      <c r="AH1136" s="21" t="n">
        <f aca="false">IF($AG$4=0,0,IF($AG$6=0,0,IF(INDEX($A1136:$AD1136,$AG$4)="",0,IF(INDEX($A1136:$AD1136,$AG$6)&lt;&gt;"NON-COMPLIED",0,IF(COUNTIFS(INDEX($A$3:$AD$1136,0,$AG$4),INDEX($A1136:$AD1136,$AG$4),INDEX($A$3:$AD$1136,0,$AG$6),"NON-COMPLIED")=1,1,0)))))</f>
        <v>0</v>
      </c>
    </row>
    <row r="1137" customFormat="false" ht="15" hidden="false" customHeight="false" outlineLevel="0" collapsed="false">
      <c r="AH1137" s="21" t="n">
        <f aca="false">IF($AG$4=0,0,IF($AG$6=0,0,IF(INDEX($A1137:$AD1137,$AG$4)="",0,IF(INDEX($A1137:$AD1137,$AG$6)&lt;&gt;"NON-COMPLIED",0,IF(COUNTIFS(INDEX($A$3:$AD$1137,0,$AG$4),INDEX($A1137:$AD1137,$AG$4),INDEX($A$3:$AD$1137,0,$AG$6),"NON-COMPLIED")=1,1,0)))))</f>
        <v>0</v>
      </c>
    </row>
    <row r="1138" customFormat="false" ht="15" hidden="false" customHeight="false" outlineLevel="0" collapsed="false">
      <c r="AH1138" s="21" t="n">
        <f aca="false">IF($AG$4=0,0,IF($AG$6=0,0,IF(INDEX($A1138:$AD1138,$AG$4)="",0,IF(INDEX($A1138:$AD1138,$AG$6)&lt;&gt;"NON-COMPLIED",0,IF(COUNTIFS(INDEX($A$3:$AD$1138,0,$AG$4),INDEX($A1138:$AD1138,$AG$4),INDEX($A$3:$AD$1138,0,$AG$6),"NON-COMPLIED")=1,1,0)))))</f>
        <v>0</v>
      </c>
    </row>
    <row r="1139" customFormat="false" ht="15" hidden="false" customHeight="false" outlineLevel="0" collapsed="false">
      <c r="AH1139" s="21" t="n">
        <f aca="false">IF($AG$4=0,0,IF($AG$6=0,0,IF(INDEX($A1139:$AD1139,$AG$4)="",0,IF(INDEX($A1139:$AD1139,$AG$6)&lt;&gt;"NON-COMPLIED",0,IF(COUNTIFS(INDEX($A$3:$AD$1139,0,$AG$4),INDEX($A1139:$AD1139,$AG$4),INDEX($A$3:$AD$1139,0,$AG$6),"NON-COMPLIED")=1,1,0)))))</f>
        <v>0</v>
      </c>
    </row>
    <row r="1140" customFormat="false" ht="15" hidden="false" customHeight="false" outlineLevel="0" collapsed="false">
      <c r="AH1140" s="21" t="n">
        <f aca="false">IF($AG$4=0,0,IF($AG$6=0,0,IF(INDEX($A1140:$AD1140,$AG$4)="",0,IF(INDEX($A1140:$AD1140,$AG$6)&lt;&gt;"NON-COMPLIED",0,IF(COUNTIFS(INDEX($A$3:$AD$1140,0,$AG$4),INDEX($A1140:$AD1140,$AG$4),INDEX($A$3:$AD$1140,0,$AG$6),"NON-COMPLIED")=1,1,0)))))</f>
        <v>0</v>
      </c>
    </row>
    <row r="1141" customFormat="false" ht="15" hidden="false" customHeight="false" outlineLevel="0" collapsed="false">
      <c r="AH1141" s="21" t="n">
        <f aca="false">IF($AG$4=0,0,IF($AG$6=0,0,IF(INDEX($A1141:$AD1141,$AG$4)="",0,IF(INDEX($A1141:$AD1141,$AG$6)&lt;&gt;"NON-COMPLIED",0,IF(COUNTIFS(INDEX($A$3:$AD$1141,0,$AG$4),INDEX($A1141:$AD1141,$AG$4),INDEX($A$3:$AD$1141,0,$AG$6),"NON-COMPLIED")=1,1,0)))))</f>
        <v>0</v>
      </c>
    </row>
    <row r="1142" customFormat="false" ht="15" hidden="false" customHeight="false" outlineLevel="0" collapsed="false">
      <c r="AH1142" s="21" t="n">
        <f aca="false">IF($AG$4=0,0,IF($AG$6=0,0,IF(INDEX($A1142:$AD1142,$AG$4)="",0,IF(INDEX($A1142:$AD1142,$AG$6)&lt;&gt;"NON-COMPLIED",0,IF(COUNTIFS(INDEX($A$3:$AD$1142,0,$AG$4),INDEX($A1142:$AD1142,$AG$4),INDEX($A$3:$AD$1142,0,$AG$6),"NON-COMPLIED")=1,1,0)))))</f>
        <v>0</v>
      </c>
    </row>
    <row r="1143" customFormat="false" ht="15" hidden="false" customHeight="false" outlineLevel="0" collapsed="false">
      <c r="AH1143" s="21" t="n">
        <f aca="false">IF($AG$4=0,0,IF($AG$6=0,0,IF(INDEX($A1143:$AD1143,$AG$4)="",0,IF(INDEX($A1143:$AD1143,$AG$6)&lt;&gt;"NON-COMPLIED",0,IF(COUNTIFS(INDEX($A$3:$AD$1143,0,$AG$4),INDEX($A1143:$AD1143,$AG$4),INDEX($A$3:$AD$1143,0,$AG$6),"NON-COMPLIED")=1,1,0)))))</f>
        <v>0</v>
      </c>
    </row>
    <row r="1144" customFormat="false" ht="15" hidden="false" customHeight="false" outlineLevel="0" collapsed="false">
      <c r="AH1144" s="21" t="n">
        <f aca="false">IF($AG$4=0,0,IF($AG$6=0,0,IF(INDEX($A1144:$AD1144,$AG$4)="",0,IF(INDEX($A1144:$AD1144,$AG$6)&lt;&gt;"NON-COMPLIED",0,IF(COUNTIFS(INDEX($A$3:$AD$1144,0,$AG$4),INDEX($A1144:$AD1144,$AG$4),INDEX($A$3:$AD$1144,0,$AG$6),"NON-COMPLIED")=1,1,0)))))</f>
        <v>0</v>
      </c>
    </row>
    <row r="1145" customFormat="false" ht="15" hidden="false" customHeight="false" outlineLevel="0" collapsed="false">
      <c r="AH1145" s="21" t="n">
        <f aca="false">IF($AG$4=0,0,IF($AG$6=0,0,IF(INDEX($A1145:$AD1145,$AG$4)="",0,IF(INDEX($A1145:$AD1145,$AG$6)&lt;&gt;"NON-COMPLIED",0,IF(COUNTIFS(INDEX($A$3:$AD$1145,0,$AG$4),INDEX($A1145:$AD1145,$AG$4),INDEX($A$3:$AD$1145,0,$AG$6),"NON-COMPLIED")=1,1,0)))))</f>
        <v>0</v>
      </c>
    </row>
    <row r="1146" customFormat="false" ht="15" hidden="false" customHeight="false" outlineLevel="0" collapsed="false">
      <c r="AH1146" s="21" t="n">
        <f aca="false">IF($AG$4=0,0,IF($AG$6=0,0,IF(INDEX($A1146:$AD1146,$AG$4)="",0,IF(INDEX($A1146:$AD1146,$AG$6)&lt;&gt;"NON-COMPLIED",0,IF(COUNTIFS(INDEX($A$3:$AD$1146,0,$AG$4),INDEX($A1146:$AD1146,$AG$4),INDEX($A$3:$AD$1146,0,$AG$6),"NON-COMPLIED")=1,1,0)))))</f>
        <v>0</v>
      </c>
    </row>
    <row r="1147" customFormat="false" ht="15" hidden="false" customHeight="false" outlineLevel="0" collapsed="false">
      <c r="AH1147" s="21" t="n">
        <f aca="false">IF($AG$4=0,0,IF($AG$6=0,0,IF(INDEX($A1147:$AD1147,$AG$4)="",0,IF(INDEX($A1147:$AD1147,$AG$6)&lt;&gt;"NON-COMPLIED",0,IF(COUNTIFS(INDEX($A$3:$AD$1147,0,$AG$4),INDEX($A1147:$AD1147,$AG$4),INDEX($A$3:$AD$1147,0,$AG$6),"NON-COMPLIED")=1,1,0)))))</f>
        <v>0</v>
      </c>
    </row>
    <row r="1148" customFormat="false" ht="15" hidden="false" customHeight="false" outlineLevel="0" collapsed="false">
      <c r="AH1148" s="21" t="n">
        <f aca="false">IF($AG$4=0,0,IF($AG$6=0,0,IF(INDEX($A1148:$AD1148,$AG$4)="",0,IF(INDEX($A1148:$AD1148,$AG$6)&lt;&gt;"NON-COMPLIED",0,IF(COUNTIFS(INDEX($A$3:$AD$1148,0,$AG$4),INDEX($A1148:$AD1148,$AG$4),INDEX($A$3:$AD$1148,0,$AG$6),"NON-COMPLIED")=1,1,0)))))</f>
        <v>0</v>
      </c>
    </row>
    <row r="1149" customFormat="false" ht="15" hidden="false" customHeight="false" outlineLevel="0" collapsed="false">
      <c r="AH1149" s="21" t="n">
        <f aca="false">IF($AG$4=0,0,IF($AG$6=0,0,IF(INDEX($A1149:$AD1149,$AG$4)="",0,IF(INDEX($A1149:$AD1149,$AG$6)&lt;&gt;"NON-COMPLIED",0,IF(COUNTIFS(INDEX($A$3:$AD$1149,0,$AG$4),INDEX($A1149:$AD1149,$AG$4),INDEX($A$3:$AD$1149,0,$AG$6),"NON-COMPLIED")=1,1,0)))))</f>
        <v>0</v>
      </c>
    </row>
    <row r="1150" customFormat="false" ht="15" hidden="false" customHeight="false" outlineLevel="0" collapsed="false">
      <c r="AH1150" s="21" t="n">
        <f aca="false">IF($AG$4=0,0,IF($AG$6=0,0,IF(INDEX($A1150:$AD1150,$AG$4)="",0,IF(INDEX($A1150:$AD1150,$AG$6)&lt;&gt;"NON-COMPLIED",0,IF(COUNTIFS(INDEX($A$3:$AD$1150,0,$AG$4),INDEX($A1150:$AD1150,$AG$4),INDEX($A$3:$AD$1150,0,$AG$6),"NON-COMPLIED")=1,1,0)))))</f>
        <v>0</v>
      </c>
    </row>
    <row r="1151" customFormat="false" ht="15" hidden="false" customHeight="false" outlineLevel="0" collapsed="false">
      <c r="AH1151" s="21" t="n">
        <f aca="false">IF($AG$4=0,0,IF($AG$6=0,0,IF(INDEX($A1151:$AD1151,$AG$4)="",0,IF(INDEX($A1151:$AD1151,$AG$6)&lt;&gt;"NON-COMPLIED",0,IF(COUNTIFS(INDEX($A$3:$AD$1151,0,$AG$4),INDEX($A1151:$AD1151,$AG$4),INDEX($A$3:$AD$1151,0,$AG$6),"NON-COMPLIED")=1,1,0)))))</f>
        <v>0</v>
      </c>
    </row>
    <row r="1152" customFormat="false" ht="15" hidden="false" customHeight="false" outlineLevel="0" collapsed="false">
      <c r="AH1152" s="21" t="n">
        <f aca="false">IF($AG$4=0,0,IF($AG$6=0,0,IF(INDEX($A1152:$AD1152,$AG$4)="",0,IF(INDEX($A1152:$AD1152,$AG$6)&lt;&gt;"NON-COMPLIED",0,IF(COUNTIFS(INDEX($A$3:$AD$1152,0,$AG$4),INDEX($A1152:$AD1152,$AG$4),INDEX($A$3:$AD$1152,0,$AG$6),"NON-COMPLIED")=1,1,0)))))</f>
        <v>0</v>
      </c>
    </row>
    <row r="1153" customFormat="false" ht="15" hidden="false" customHeight="false" outlineLevel="0" collapsed="false">
      <c r="AH1153" s="21" t="n">
        <f aca="false">IF($AG$4=0,0,IF($AG$6=0,0,IF(INDEX($A1153:$AD1153,$AG$4)="",0,IF(INDEX($A1153:$AD1153,$AG$6)&lt;&gt;"NON-COMPLIED",0,IF(COUNTIFS(INDEX($A$3:$AD$1153,0,$AG$4),INDEX($A1153:$AD1153,$AG$4),INDEX($A$3:$AD$1153,0,$AG$6),"NON-COMPLIED")=1,1,0)))))</f>
        <v>0</v>
      </c>
    </row>
    <row r="1154" customFormat="false" ht="15" hidden="false" customHeight="false" outlineLevel="0" collapsed="false">
      <c r="AH1154" s="21" t="n">
        <f aca="false">IF($AG$4=0,0,IF($AG$6=0,0,IF(INDEX($A1154:$AD1154,$AG$4)="",0,IF(INDEX($A1154:$AD1154,$AG$6)&lt;&gt;"NON-COMPLIED",0,IF(COUNTIFS(INDEX($A$3:$AD$1154,0,$AG$4),INDEX($A1154:$AD1154,$AG$4),INDEX($A$3:$AD$1154,0,$AG$6),"NON-COMPLIED")=1,1,0)))))</f>
        <v>0</v>
      </c>
    </row>
    <row r="1155" customFormat="false" ht="15" hidden="false" customHeight="false" outlineLevel="0" collapsed="false">
      <c r="AH1155" s="21" t="n">
        <f aca="false">IF($AG$4=0,0,IF($AG$6=0,0,IF(INDEX($A1155:$AD1155,$AG$4)="",0,IF(INDEX($A1155:$AD1155,$AG$6)&lt;&gt;"NON-COMPLIED",0,IF(COUNTIFS(INDEX($A$3:$AD$1155,0,$AG$4),INDEX($A1155:$AD1155,$AG$4),INDEX($A$3:$AD$1155,0,$AG$6),"NON-COMPLIED")=1,1,0)))))</f>
        <v>0</v>
      </c>
    </row>
    <row r="1156" customFormat="false" ht="15" hidden="false" customHeight="false" outlineLevel="0" collapsed="false">
      <c r="AH1156" s="21" t="n">
        <f aca="false">IF($AG$4=0,0,IF($AG$6=0,0,IF(INDEX($A1156:$AD1156,$AG$4)="",0,IF(INDEX($A1156:$AD1156,$AG$6)&lt;&gt;"NON-COMPLIED",0,IF(COUNTIFS(INDEX($A$3:$AD$1156,0,$AG$4),INDEX($A1156:$AD1156,$AG$4),INDEX($A$3:$AD$1156,0,$AG$6),"NON-COMPLIED")=1,1,0)))))</f>
        <v>0</v>
      </c>
    </row>
    <row r="1157" customFormat="false" ht="15" hidden="false" customHeight="false" outlineLevel="0" collapsed="false">
      <c r="AH1157" s="21" t="n">
        <f aca="false">IF($AG$4=0,0,IF($AG$6=0,0,IF(INDEX($A1157:$AD1157,$AG$4)="",0,IF(INDEX($A1157:$AD1157,$AG$6)&lt;&gt;"NON-COMPLIED",0,IF(COUNTIFS(INDEX($A$3:$AD$1157,0,$AG$4),INDEX($A1157:$AD1157,$AG$4),INDEX($A$3:$AD$1157,0,$AG$6),"NON-COMPLIED")=1,1,0)))))</f>
        <v>0</v>
      </c>
    </row>
    <row r="1158" customFormat="false" ht="15" hidden="false" customHeight="false" outlineLevel="0" collapsed="false">
      <c r="AH1158" s="21" t="n">
        <f aca="false">IF($AG$4=0,0,IF($AG$6=0,0,IF(INDEX($A1158:$AD1158,$AG$4)="",0,IF(INDEX($A1158:$AD1158,$AG$6)&lt;&gt;"NON-COMPLIED",0,IF(COUNTIFS(INDEX($A$3:$AD$1158,0,$AG$4),INDEX($A1158:$AD1158,$AG$4),INDEX($A$3:$AD$1158,0,$AG$6),"NON-COMPLIED")=1,1,0)))))</f>
        <v>0</v>
      </c>
    </row>
    <row r="1159" customFormat="false" ht="15" hidden="false" customHeight="false" outlineLevel="0" collapsed="false">
      <c r="AH1159" s="21" t="n">
        <f aca="false">IF($AG$4=0,0,IF($AG$6=0,0,IF(INDEX($A1159:$AD1159,$AG$4)="",0,IF(INDEX($A1159:$AD1159,$AG$6)&lt;&gt;"NON-COMPLIED",0,IF(COUNTIFS(INDEX($A$3:$AD$1159,0,$AG$4),INDEX($A1159:$AD1159,$AG$4),INDEX($A$3:$AD$1159,0,$AG$6),"NON-COMPLIED")=1,1,0)))))</f>
        <v>0</v>
      </c>
    </row>
    <row r="1160" customFormat="false" ht="15" hidden="false" customHeight="false" outlineLevel="0" collapsed="false">
      <c r="AH1160" s="21" t="n">
        <f aca="false">IF($AG$4=0,0,IF($AG$6=0,0,IF(INDEX($A1160:$AD1160,$AG$4)="",0,IF(INDEX($A1160:$AD1160,$AG$6)&lt;&gt;"NON-COMPLIED",0,IF(COUNTIFS(INDEX($A$3:$AD$1160,0,$AG$4),INDEX($A1160:$AD1160,$AG$4),INDEX($A$3:$AD$1160,0,$AG$6),"NON-COMPLIED")=1,1,0)))))</f>
        <v>0</v>
      </c>
    </row>
    <row r="1161" customFormat="false" ht="15" hidden="false" customHeight="false" outlineLevel="0" collapsed="false">
      <c r="AH1161" s="21" t="n">
        <f aca="false">IF($AG$4=0,0,IF($AG$6=0,0,IF(INDEX($A1161:$AD1161,$AG$4)="",0,IF(INDEX($A1161:$AD1161,$AG$6)&lt;&gt;"NON-COMPLIED",0,IF(COUNTIFS(INDEX($A$3:$AD$1161,0,$AG$4),INDEX($A1161:$AD1161,$AG$4),INDEX($A$3:$AD$1161,0,$AG$6),"NON-COMPLIED")=1,1,0)))))</f>
        <v>0</v>
      </c>
    </row>
    <row r="1162" customFormat="false" ht="15" hidden="false" customHeight="false" outlineLevel="0" collapsed="false">
      <c r="AH1162" s="21" t="n">
        <f aca="false">IF($AG$4=0,0,IF($AG$6=0,0,IF(INDEX($A1162:$AD1162,$AG$4)="",0,IF(INDEX($A1162:$AD1162,$AG$6)&lt;&gt;"NON-COMPLIED",0,IF(COUNTIFS(INDEX($A$3:$AD$1162,0,$AG$4),INDEX($A1162:$AD1162,$AG$4),INDEX($A$3:$AD$1162,0,$AG$6),"NON-COMPLIED")=1,1,0)))))</f>
        <v>0</v>
      </c>
    </row>
    <row r="1163" customFormat="false" ht="15" hidden="false" customHeight="false" outlineLevel="0" collapsed="false">
      <c r="AH1163" s="21" t="n">
        <f aca="false">IF($AG$4=0,0,IF($AG$6=0,0,IF(INDEX($A1163:$AD1163,$AG$4)="",0,IF(INDEX($A1163:$AD1163,$AG$6)&lt;&gt;"NON-COMPLIED",0,IF(COUNTIFS(INDEX($A$3:$AD$1163,0,$AG$4),INDEX($A1163:$AD1163,$AG$4),INDEX($A$3:$AD$1163,0,$AG$6),"NON-COMPLIED")=1,1,0)))))</f>
        <v>0</v>
      </c>
    </row>
    <row r="1164" customFormat="false" ht="15" hidden="false" customHeight="false" outlineLevel="0" collapsed="false">
      <c r="AH1164" s="21" t="n">
        <f aca="false">IF($AG$4=0,0,IF($AG$6=0,0,IF(INDEX($A1164:$AD1164,$AG$4)="",0,IF(INDEX($A1164:$AD1164,$AG$6)&lt;&gt;"NON-COMPLIED",0,IF(COUNTIFS(INDEX($A$3:$AD$1164,0,$AG$4),INDEX($A1164:$AD1164,$AG$4),INDEX($A$3:$AD$1164,0,$AG$6),"NON-COMPLIED")=1,1,0)))))</f>
        <v>0</v>
      </c>
    </row>
    <row r="1165" customFormat="false" ht="15" hidden="false" customHeight="false" outlineLevel="0" collapsed="false">
      <c r="AH1165" s="21" t="n">
        <f aca="false">IF($AG$4=0,0,IF($AG$6=0,0,IF(INDEX($A1165:$AD1165,$AG$4)="",0,IF(INDEX($A1165:$AD1165,$AG$6)&lt;&gt;"NON-COMPLIED",0,IF(COUNTIFS(INDEX($A$3:$AD$1165,0,$AG$4),INDEX($A1165:$AD1165,$AG$4),INDEX($A$3:$AD$1165,0,$AG$6),"NON-COMPLIED")=1,1,0)))))</f>
        <v>0</v>
      </c>
    </row>
    <row r="1166" customFormat="false" ht="15" hidden="false" customHeight="false" outlineLevel="0" collapsed="false">
      <c r="AH1166" s="21" t="n">
        <f aca="false">IF($AG$4=0,0,IF($AG$6=0,0,IF(INDEX($A1166:$AD1166,$AG$4)="",0,IF(INDEX($A1166:$AD1166,$AG$6)&lt;&gt;"NON-COMPLIED",0,IF(COUNTIFS(INDEX($A$3:$AD$1166,0,$AG$4),INDEX($A1166:$AD1166,$AG$4),INDEX($A$3:$AD$1166,0,$AG$6),"NON-COMPLIED")=1,1,0)))))</f>
        <v>0</v>
      </c>
    </row>
    <row r="1167" customFormat="false" ht="15" hidden="false" customHeight="false" outlineLevel="0" collapsed="false">
      <c r="AH1167" s="21" t="n">
        <f aca="false">IF($AG$4=0,0,IF($AG$6=0,0,IF(INDEX($A1167:$AD1167,$AG$4)="",0,IF(INDEX($A1167:$AD1167,$AG$6)&lt;&gt;"NON-COMPLIED",0,IF(COUNTIFS(INDEX($A$3:$AD$1167,0,$AG$4),INDEX($A1167:$AD1167,$AG$4),INDEX($A$3:$AD$1167,0,$AG$6),"NON-COMPLIED")=1,1,0)))))</f>
        <v>0</v>
      </c>
    </row>
    <row r="1168" customFormat="false" ht="15" hidden="false" customHeight="false" outlineLevel="0" collapsed="false">
      <c r="AH1168" s="21" t="n">
        <f aca="false">IF($AG$4=0,0,IF($AG$6=0,0,IF(INDEX($A1168:$AD1168,$AG$4)="",0,IF(INDEX($A1168:$AD1168,$AG$6)&lt;&gt;"NON-COMPLIED",0,IF(COUNTIFS(INDEX($A$3:$AD$1168,0,$AG$4),INDEX($A1168:$AD1168,$AG$4),INDEX($A$3:$AD$1168,0,$AG$6),"NON-COMPLIED")=1,1,0)))))</f>
        <v>0</v>
      </c>
    </row>
    <row r="1169" customFormat="false" ht="15" hidden="false" customHeight="false" outlineLevel="0" collapsed="false">
      <c r="AH1169" s="21" t="n">
        <f aca="false">IF($AG$4=0,0,IF($AG$6=0,0,IF(INDEX($A1169:$AD1169,$AG$4)="",0,IF(INDEX($A1169:$AD1169,$AG$6)&lt;&gt;"NON-COMPLIED",0,IF(COUNTIFS(INDEX($A$3:$AD$1169,0,$AG$4),INDEX($A1169:$AD1169,$AG$4),INDEX($A$3:$AD$1169,0,$AG$6),"NON-COMPLIED")=1,1,0)))))</f>
        <v>0</v>
      </c>
    </row>
    <row r="1170" customFormat="false" ht="15" hidden="false" customHeight="false" outlineLevel="0" collapsed="false">
      <c r="AH1170" s="21" t="n">
        <f aca="false">IF($AG$4=0,0,IF($AG$6=0,0,IF(INDEX($A1170:$AD1170,$AG$4)="",0,IF(INDEX($A1170:$AD1170,$AG$6)&lt;&gt;"NON-COMPLIED",0,IF(COUNTIFS(INDEX($A$3:$AD$1170,0,$AG$4),INDEX($A1170:$AD1170,$AG$4),INDEX($A$3:$AD$1170,0,$AG$6),"NON-COMPLIED")=1,1,0)))))</f>
        <v>0</v>
      </c>
    </row>
    <row r="1171" customFormat="false" ht="15" hidden="false" customHeight="false" outlineLevel="0" collapsed="false">
      <c r="AH1171" s="21" t="n">
        <f aca="false">IF($AG$4=0,0,IF($AG$6=0,0,IF(INDEX($A1171:$AD1171,$AG$4)="",0,IF(INDEX($A1171:$AD1171,$AG$6)&lt;&gt;"NON-COMPLIED",0,IF(COUNTIFS(INDEX($A$3:$AD$1171,0,$AG$4),INDEX($A1171:$AD1171,$AG$4),INDEX($A$3:$AD$1171,0,$AG$6),"NON-COMPLIED")=1,1,0)))))</f>
        <v>0</v>
      </c>
    </row>
    <row r="1172" customFormat="false" ht="15" hidden="false" customHeight="false" outlineLevel="0" collapsed="false">
      <c r="AH1172" s="21" t="n">
        <f aca="false">IF($AG$4=0,0,IF($AG$6=0,0,IF(INDEX($A1172:$AD1172,$AG$4)="",0,IF(INDEX($A1172:$AD1172,$AG$6)&lt;&gt;"NON-COMPLIED",0,IF(COUNTIFS(INDEX($A$3:$AD$1172,0,$AG$4),INDEX($A1172:$AD1172,$AG$4),INDEX($A$3:$AD$1172,0,$AG$6),"NON-COMPLIED")=1,1,0)))))</f>
        <v>0</v>
      </c>
    </row>
    <row r="1173" customFormat="false" ht="15" hidden="false" customHeight="false" outlineLevel="0" collapsed="false">
      <c r="AH1173" s="21" t="n">
        <f aca="false">IF($AG$4=0,0,IF($AG$6=0,0,IF(INDEX($A1173:$AD1173,$AG$4)="",0,IF(INDEX($A1173:$AD1173,$AG$6)&lt;&gt;"NON-COMPLIED",0,IF(COUNTIFS(INDEX($A$3:$AD$1173,0,$AG$4),INDEX($A1173:$AD1173,$AG$4),INDEX($A$3:$AD$1173,0,$AG$6),"NON-COMPLIED")=1,1,0)))))</f>
        <v>0</v>
      </c>
    </row>
    <row r="1174" customFormat="false" ht="15" hidden="false" customHeight="false" outlineLevel="0" collapsed="false">
      <c r="AH1174" s="21" t="n">
        <f aca="false">IF($AG$4=0,0,IF($AG$6=0,0,IF(INDEX($A1174:$AD1174,$AG$4)="",0,IF(INDEX($A1174:$AD1174,$AG$6)&lt;&gt;"NON-COMPLIED",0,IF(COUNTIFS(INDEX($A$3:$AD$1174,0,$AG$4),INDEX($A1174:$AD1174,$AG$4),INDEX($A$3:$AD$1174,0,$AG$6),"NON-COMPLIED")=1,1,0)))))</f>
        <v>0</v>
      </c>
    </row>
    <row r="1175" customFormat="false" ht="15" hidden="false" customHeight="false" outlineLevel="0" collapsed="false">
      <c r="AH1175" s="21" t="n">
        <f aca="false">IF($AG$4=0,0,IF($AG$6=0,0,IF(INDEX($A1175:$AD1175,$AG$4)="",0,IF(INDEX($A1175:$AD1175,$AG$6)&lt;&gt;"NON-COMPLIED",0,IF(COUNTIFS(INDEX($A$3:$AD$1175,0,$AG$4),INDEX($A1175:$AD1175,$AG$4),INDEX($A$3:$AD$1175,0,$AG$6),"NON-COMPLIED")=1,1,0)))))</f>
        <v>0</v>
      </c>
    </row>
    <row r="1176" customFormat="false" ht="15" hidden="false" customHeight="false" outlineLevel="0" collapsed="false">
      <c r="AH1176" s="21" t="n">
        <f aca="false">IF($AG$4=0,0,IF($AG$6=0,0,IF(INDEX($A1176:$AD1176,$AG$4)="",0,IF(INDEX($A1176:$AD1176,$AG$6)&lt;&gt;"NON-COMPLIED",0,IF(COUNTIFS(INDEX($A$3:$AD$1176,0,$AG$4),INDEX($A1176:$AD1176,$AG$4),INDEX($A$3:$AD$1176,0,$AG$6),"NON-COMPLIED")=1,1,0)))))</f>
        <v>0</v>
      </c>
    </row>
    <row r="1177" customFormat="false" ht="15" hidden="false" customHeight="false" outlineLevel="0" collapsed="false">
      <c r="AH1177" s="21" t="n">
        <f aca="false">IF($AG$4=0,0,IF($AG$6=0,0,IF(INDEX($A1177:$AD1177,$AG$4)="",0,IF(INDEX($A1177:$AD1177,$AG$6)&lt;&gt;"NON-COMPLIED",0,IF(COUNTIFS(INDEX($A$3:$AD$1177,0,$AG$4),INDEX($A1177:$AD1177,$AG$4),INDEX($A$3:$AD$1177,0,$AG$6),"NON-COMPLIED")=1,1,0)))))</f>
        <v>0</v>
      </c>
    </row>
    <row r="1178" customFormat="false" ht="15" hidden="false" customHeight="false" outlineLevel="0" collapsed="false">
      <c r="AH1178" s="21" t="n">
        <f aca="false">IF($AG$4=0,0,IF($AG$6=0,0,IF(INDEX($A1178:$AD1178,$AG$4)="",0,IF(INDEX($A1178:$AD1178,$AG$6)&lt;&gt;"NON-COMPLIED",0,IF(COUNTIFS(INDEX($A$3:$AD$1178,0,$AG$4),INDEX($A1178:$AD1178,$AG$4),INDEX($A$3:$AD$1178,0,$AG$6),"NON-COMPLIED")=1,1,0)))))</f>
        <v>0</v>
      </c>
    </row>
    <row r="1179" customFormat="false" ht="15" hidden="false" customHeight="false" outlineLevel="0" collapsed="false">
      <c r="AH1179" s="21" t="n">
        <f aca="false">IF($AG$4=0,0,IF($AG$6=0,0,IF(INDEX($A1179:$AD1179,$AG$4)="",0,IF(INDEX($A1179:$AD1179,$AG$6)&lt;&gt;"NON-COMPLIED",0,IF(COUNTIFS(INDEX($A$3:$AD$1179,0,$AG$4),INDEX($A1179:$AD1179,$AG$4),INDEX($A$3:$AD$1179,0,$AG$6),"NON-COMPLIED")=1,1,0)))))</f>
        <v>0</v>
      </c>
    </row>
    <row r="1180" customFormat="false" ht="15" hidden="false" customHeight="false" outlineLevel="0" collapsed="false">
      <c r="AH1180" s="21" t="n">
        <f aca="false">IF($AG$4=0,0,IF($AG$6=0,0,IF(INDEX($A1180:$AD1180,$AG$4)="",0,IF(INDEX($A1180:$AD1180,$AG$6)&lt;&gt;"NON-COMPLIED",0,IF(COUNTIFS(INDEX($A$3:$AD$1180,0,$AG$4),INDEX($A1180:$AD1180,$AG$4),INDEX($A$3:$AD$1180,0,$AG$6),"NON-COMPLIED")=1,1,0)))))</f>
        <v>0</v>
      </c>
    </row>
    <row r="1181" customFormat="false" ht="15" hidden="false" customHeight="false" outlineLevel="0" collapsed="false">
      <c r="AH1181" s="21" t="n">
        <f aca="false">IF($AG$4=0,0,IF($AG$6=0,0,IF(INDEX($A1181:$AD1181,$AG$4)="",0,IF(INDEX($A1181:$AD1181,$AG$6)&lt;&gt;"NON-COMPLIED",0,IF(COUNTIFS(INDEX($A$3:$AD$1181,0,$AG$4),INDEX($A1181:$AD1181,$AG$4),INDEX($A$3:$AD$1181,0,$AG$6),"NON-COMPLIED")=1,1,0)))))</f>
        <v>0</v>
      </c>
    </row>
    <row r="1182" customFormat="false" ht="15" hidden="false" customHeight="false" outlineLevel="0" collapsed="false">
      <c r="AH1182" s="21" t="n">
        <f aca="false">IF($AG$4=0,0,IF($AG$6=0,0,IF(INDEX($A1182:$AD1182,$AG$4)="",0,IF(INDEX($A1182:$AD1182,$AG$6)&lt;&gt;"NON-COMPLIED",0,IF(COUNTIFS(INDEX($A$3:$AD$1182,0,$AG$4),INDEX($A1182:$AD1182,$AG$4),INDEX($A$3:$AD$1182,0,$AG$6),"NON-COMPLIED")=1,1,0)))))</f>
        <v>0</v>
      </c>
    </row>
    <row r="1183" customFormat="false" ht="15" hidden="false" customHeight="false" outlineLevel="0" collapsed="false">
      <c r="AH1183" s="21" t="n">
        <f aca="false">IF($AG$4=0,0,IF($AG$6=0,0,IF(INDEX($A1183:$AD1183,$AG$4)="",0,IF(INDEX($A1183:$AD1183,$AG$6)&lt;&gt;"NON-COMPLIED",0,IF(COUNTIFS(INDEX($A$3:$AD$1183,0,$AG$4),INDEX($A1183:$AD1183,$AG$4),INDEX($A$3:$AD$1183,0,$AG$6),"NON-COMPLIED")=1,1,0)))))</f>
        <v>0</v>
      </c>
    </row>
    <row r="1184" customFormat="false" ht="15" hidden="false" customHeight="false" outlineLevel="0" collapsed="false">
      <c r="AH1184" s="21" t="n">
        <f aca="false">IF($AG$4=0,0,IF($AG$6=0,0,IF(INDEX($A1184:$AD1184,$AG$4)="",0,IF(INDEX($A1184:$AD1184,$AG$6)&lt;&gt;"NON-COMPLIED",0,IF(COUNTIFS(INDEX($A$3:$AD$1184,0,$AG$4),INDEX($A1184:$AD1184,$AG$4),INDEX($A$3:$AD$1184,0,$AG$6),"NON-COMPLIED")=1,1,0)))))</f>
        <v>0</v>
      </c>
    </row>
    <row r="1185" customFormat="false" ht="15" hidden="false" customHeight="false" outlineLevel="0" collapsed="false">
      <c r="AH1185" s="21" t="n">
        <f aca="false">IF($AG$4=0,0,IF($AG$6=0,0,IF(INDEX($A1185:$AD1185,$AG$4)="",0,IF(INDEX($A1185:$AD1185,$AG$6)&lt;&gt;"NON-COMPLIED",0,IF(COUNTIFS(INDEX($A$3:$AD$1185,0,$AG$4),INDEX($A1185:$AD1185,$AG$4),INDEX($A$3:$AD$1185,0,$AG$6),"NON-COMPLIED")=1,1,0)))))</f>
        <v>0</v>
      </c>
    </row>
    <row r="1186" customFormat="false" ht="15" hidden="false" customHeight="false" outlineLevel="0" collapsed="false">
      <c r="AH1186" s="21" t="n">
        <f aca="false">IF($AG$4=0,0,IF($AG$6=0,0,IF(INDEX($A1186:$AD1186,$AG$4)="",0,IF(INDEX($A1186:$AD1186,$AG$6)&lt;&gt;"NON-COMPLIED",0,IF(COUNTIFS(INDEX($A$3:$AD$1186,0,$AG$4),INDEX($A1186:$AD1186,$AG$4),INDEX($A$3:$AD$1186,0,$AG$6),"NON-COMPLIED")=1,1,0)))))</f>
        <v>0</v>
      </c>
    </row>
    <row r="1187" customFormat="false" ht="15" hidden="false" customHeight="false" outlineLevel="0" collapsed="false">
      <c r="AH1187" s="21" t="n">
        <f aca="false">IF($AG$4=0,0,IF($AG$6=0,0,IF(INDEX($A1187:$AD1187,$AG$4)="",0,IF(INDEX($A1187:$AD1187,$AG$6)&lt;&gt;"NON-COMPLIED",0,IF(COUNTIFS(INDEX($A$3:$AD$1187,0,$AG$4),INDEX($A1187:$AD1187,$AG$4),INDEX($A$3:$AD$1187,0,$AG$6),"NON-COMPLIED")=1,1,0)))))</f>
        <v>0</v>
      </c>
    </row>
    <row r="1188" customFormat="false" ht="15" hidden="false" customHeight="false" outlineLevel="0" collapsed="false">
      <c r="AH1188" s="21" t="n">
        <f aca="false">IF($AG$4=0,0,IF($AG$6=0,0,IF(INDEX($A1188:$AD1188,$AG$4)="",0,IF(INDEX($A1188:$AD1188,$AG$6)&lt;&gt;"NON-COMPLIED",0,IF(COUNTIFS(INDEX($A$3:$AD$1188,0,$AG$4),INDEX($A1188:$AD1188,$AG$4),INDEX($A$3:$AD$1188,0,$AG$6),"NON-COMPLIED")=1,1,0)))))</f>
        <v>0</v>
      </c>
    </row>
    <row r="1189" customFormat="false" ht="15" hidden="false" customHeight="false" outlineLevel="0" collapsed="false">
      <c r="AH1189" s="21" t="n">
        <f aca="false">IF($AG$4=0,0,IF($AG$6=0,0,IF(INDEX($A1189:$AD1189,$AG$4)="",0,IF(INDEX($A1189:$AD1189,$AG$6)&lt;&gt;"NON-COMPLIED",0,IF(COUNTIFS(INDEX($A$3:$AD$1189,0,$AG$4),INDEX($A1189:$AD1189,$AG$4),INDEX($A$3:$AD$1189,0,$AG$6),"NON-COMPLIED")=1,1,0)))))</f>
        <v>0</v>
      </c>
    </row>
    <row r="1190" customFormat="false" ht="15" hidden="false" customHeight="false" outlineLevel="0" collapsed="false">
      <c r="AH1190" s="21" t="n">
        <f aca="false">IF($AG$4=0,0,IF($AG$6=0,0,IF(INDEX($A1190:$AD1190,$AG$4)="",0,IF(INDEX($A1190:$AD1190,$AG$6)&lt;&gt;"NON-COMPLIED",0,IF(COUNTIFS(INDEX($A$3:$AD$1190,0,$AG$4),INDEX($A1190:$AD1190,$AG$4),INDEX($A$3:$AD$1190,0,$AG$6),"NON-COMPLIED")=1,1,0)))))</f>
        <v>0</v>
      </c>
    </row>
    <row r="1191" customFormat="false" ht="15" hidden="false" customHeight="false" outlineLevel="0" collapsed="false">
      <c r="AH1191" s="21" t="n">
        <f aca="false">IF($AG$4=0,0,IF($AG$6=0,0,IF(INDEX($A1191:$AD1191,$AG$4)="",0,IF(INDEX($A1191:$AD1191,$AG$6)&lt;&gt;"NON-COMPLIED",0,IF(COUNTIFS(INDEX($A$3:$AD$1191,0,$AG$4),INDEX($A1191:$AD1191,$AG$4),INDEX($A$3:$AD$1191,0,$AG$6),"NON-COMPLIED")=1,1,0)))))</f>
        <v>0</v>
      </c>
    </row>
    <row r="1192" customFormat="false" ht="15" hidden="false" customHeight="false" outlineLevel="0" collapsed="false">
      <c r="AH1192" s="21" t="n">
        <f aca="false">IF($AG$4=0,0,IF($AG$6=0,0,IF(INDEX($A1192:$AD1192,$AG$4)="",0,IF(INDEX($A1192:$AD1192,$AG$6)&lt;&gt;"NON-COMPLIED",0,IF(COUNTIFS(INDEX($A$3:$AD$1192,0,$AG$4),INDEX($A1192:$AD1192,$AG$4),INDEX($A$3:$AD$1192,0,$AG$6),"NON-COMPLIED")=1,1,0)))))</f>
        <v>0</v>
      </c>
    </row>
    <row r="1193" customFormat="false" ht="15" hidden="false" customHeight="false" outlineLevel="0" collapsed="false">
      <c r="AH1193" s="21" t="n">
        <f aca="false">IF($AG$4=0,0,IF($AG$6=0,0,IF(INDEX($A1193:$AD1193,$AG$4)="",0,IF(INDEX($A1193:$AD1193,$AG$6)&lt;&gt;"NON-COMPLIED",0,IF(COUNTIFS(INDEX($A$3:$AD$1193,0,$AG$4),INDEX($A1193:$AD1193,$AG$4),INDEX($A$3:$AD$1193,0,$AG$6),"NON-COMPLIED")=1,1,0)))))</f>
        <v>0</v>
      </c>
    </row>
    <row r="1194" customFormat="false" ht="15" hidden="false" customHeight="false" outlineLevel="0" collapsed="false">
      <c r="AH1194" s="21" t="n">
        <f aca="false">IF($AG$4=0,0,IF($AG$6=0,0,IF(INDEX($A1194:$AD1194,$AG$4)="",0,IF(INDEX($A1194:$AD1194,$AG$6)&lt;&gt;"NON-COMPLIED",0,IF(COUNTIFS(INDEX($A$3:$AD$1194,0,$AG$4),INDEX($A1194:$AD1194,$AG$4),INDEX($A$3:$AD$1194,0,$AG$6),"NON-COMPLIED")=1,1,0)))))</f>
        <v>0</v>
      </c>
    </row>
    <row r="1195" customFormat="false" ht="15" hidden="false" customHeight="false" outlineLevel="0" collapsed="false">
      <c r="AH1195" s="21" t="n">
        <f aca="false">IF($AG$4=0,0,IF($AG$6=0,0,IF(INDEX($A1195:$AD1195,$AG$4)="",0,IF(INDEX($A1195:$AD1195,$AG$6)&lt;&gt;"NON-COMPLIED",0,IF(COUNTIFS(INDEX($A$3:$AD$1195,0,$AG$4),INDEX($A1195:$AD1195,$AG$4),INDEX($A$3:$AD$1195,0,$AG$6),"NON-COMPLIED")=1,1,0)))))</f>
        <v>0</v>
      </c>
    </row>
    <row r="1196" customFormat="false" ht="15" hidden="false" customHeight="false" outlineLevel="0" collapsed="false">
      <c r="AH1196" s="21" t="n">
        <f aca="false">IF($AG$4=0,0,IF($AG$6=0,0,IF(INDEX($A1196:$AD1196,$AG$4)="",0,IF(INDEX($A1196:$AD1196,$AG$6)&lt;&gt;"NON-COMPLIED",0,IF(COUNTIFS(INDEX($A$3:$AD$1196,0,$AG$4),INDEX($A1196:$AD1196,$AG$4),INDEX($A$3:$AD$1196,0,$AG$6),"NON-COMPLIED")=1,1,0)))))</f>
        <v>0</v>
      </c>
    </row>
    <row r="1197" customFormat="false" ht="15" hidden="false" customHeight="false" outlineLevel="0" collapsed="false">
      <c r="AH1197" s="21" t="n">
        <f aca="false">IF($AG$4=0,0,IF($AG$6=0,0,IF(INDEX($A1197:$AD1197,$AG$4)="",0,IF(INDEX($A1197:$AD1197,$AG$6)&lt;&gt;"NON-COMPLIED",0,IF(COUNTIFS(INDEX($A$3:$AD$1197,0,$AG$4),INDEX($A1197:$AD1197,$AG$4),INDEX($A$3:$AD$1197,0,$AG$6),"NON-COMPLIED")=1,1,0)))))</f>
        <v>0</v>
      </c>
    </row>
    <row r="1198" customFormat="false" ht="15" hidden="false" customHeight="false" outlineLevel="0" collapsed="false">
      <c r="AH1198" s="21" t="n">
        <f aca="false">IF($AG$4=0,0,IF($AG$6=0,0,IF(INDEX($A1198:$AD1198,$AG$4)="",0,IF(INDEX($A1198:$AD1198,$AG$6)&lt;&gt;"NON-COMPLIED",0,IF(COUNTIFS(INDEX($A$3:$AD$1198,0,$AG$4),INDEX($A1198:$AD1198,$AG$4),INDEX($A$3:$AD$1198,0,$AG$6),"NON-COMPLIED")=1,1,0)))))</f>
        <v>0</v>
      </c>
    </row>
    <row r="1199" customFormat="false" ht="15" hidden="false" customHeight="false" outlineLevel="0" collapsed="false">
      <c r="AH1199" s="21" t="n">
        <f aca="false">IF($AG$4=0,0,IF($AG$6=0,0,IF(INDEX($A1199:$AD1199,$AG$4)="",0,IF(INDEX($A1199:$AD1199,$AG$6)&lt;&gt;"NON-COMPLIED",0,IF(COUNTIFS(INDEX($A$3:$AD$1199,0,$AG$4),INDEX($A1199:$AD1199,$AG$4),INDEX($A$3:$AD$1199,0,$AG$6),"NON-COMPLIED")=1,1,0)))))</f>
        <v>0</v>
      </c>
    </row>
    <row r="1200" customFormat="false" ht="15" hidden="false" customHeight="false" outlineLevel="0" collapsed="false">
      <c r="AH1200" s="21" t="n">
        <f aca="false">IF($AG$4=0,0,IF($AG$6=0,0,IF(INDEX($A1200:$AD1200,$AG$4)="",0,IF(INDEX($A1200:$AD1200,$AG$6)&lt;&gt;"NON-COMPLIED",0,IF(COUNTIFS(INDEX($A$3:$AD$1200,0,$AG$4),INDEX($A1200:$AD1200,$AG$4),INDEX($A$3:$AD$1200,0,$AG$6),"NON-COMPLIED")=1,1,0)))))</f>
        <v>0</v>
      </c>
    </row>
    <row r="1201" customFormat="false" ht="15" hidden="false" customHeight="false" outlineLevel="0" collapsed="false">
      <c r="AH1201" s="21" t="n">
        <f aca="false">IF($AG$4=0,0,IF($AG$6=0,0,IF(INDEX($A1201:$AD1201,$AG$4)="",0,IF(INDEX($A1201:$AD1201,$AG$6)&lt;&gt;"NON-COMPLIED",0,IF(COUNTIFS(INDEX($A$3:$AD$1201,0,$AG$4),INDEX($A1201:$AD1201,$AG$4),INDEX($A$3:$AD$1201,0,$AG$6),"NON-COMPLIED")=1,1,0)))))</f>
        <v>0</v>
      </c>
    </row>
    <row r="1202" customFormat="false" ht="15" hidden="false" customHeight="false" outlineLevel="0" collapsed="false">
      <c r="AH1202" s="21" t="n">
        <f aca="false">IF($AG$4=0,0,IF($AG$6=0,0,IF(INDEX($A1202:$AD1202,$AG$4)="",0,IF(INDEX($A1202:$AD1202,$AG$6)&lt;&gt;"NON-COMPLIED",0,IF(COUNTIFS(INDEX($A$3:$AD$1202,0,$AG$4),INDEX($A1202:$AD1202,$AG$4),INDEX($A$3:$AD$1202,0,$AG$6),"NON-COMPLIED")=1,1,0)))))</f>
        <v>0</v>
      </c>
    </row>
    <row r="1203" customFormat="false" ht="15" hidden="false" customHeight="false" outlineLevel="0" collapsed="false">
      <c r="AH1203" s="21" t="n">
        <f aca="false">IF($AG$4=0,0,IF($AG$6=0,0,IF(INDEX($A1203:$AD1203,$AG$4)="",0,IF(INDEX($A1203:$AD1203,$AG$6)&lt;&gt;"NON-COMPLIED",0,IF(COUNTIFS(INDEX($A$3:$AD$1203,0,$AG$4),INDEX($A1203:$AD1203,$AG$4),INDEX($A$3:$AD$1203,0,$AG$6),"NON-COMPLIED")=1,1,0)))))</f>
        <v>0</v>
      </c>
    </row>
    <row r="1204" customFormat="false" ht="15" hidden="false" customHeight="false" outlineLevel="0" collapsed="false">
      <c r="AH1204" s="21" t="n">
        <f aca="false">IF($AG$4=0,0,IF($AG$6=0,0,IF(INDEX($A1204:$AD1204,$AG$4)="",0,IF(INDEX($A1204:$AD1204,$AG$6)&lt;&gt;"NON-COMPLIED",0,IF(COUNTIFS(INDEX($A$3:$AD$1204,0,$AG$4),INDEX($A1204:$AD1204,$AG$4),INDEX($A$3:$AD$1204,0,$AG$6),"NON-COMPLIED")=1,1,0)))))</f>
        <v>0</v>
      </c>
    </row>
    <row r="1205" customFormat="false" ht="15" hidden="false" customHeight="false" outlineLevel="0" collapsed="false">
      <c r="AH1205" s="21" t="n">
        <f aca="false">IF($AG$4=0,0,IF($AG$6=0,0,IF(INDEX($A1205:$AD1205,$AG$4)="",0,IF(INDEX($A1205:$AD1205,$AG$6)&lt;&gt;"NON-COMPLIED",0,IF(COUNTIFS(INDEX($A$3:$AD$1205,0,$AG$4),INDEX($A1205:$AD1205,$AG$4),INDEX($A$3:$AD$1205,0,$AG$6),"NON-COMPLIED")=1,1,0)))))</f>
        <v>0</v>
      </c>
    </row>
    <row r="1206" customFormat="false" ht="15" hidden="false" customHeight="false" outlineLevel="0" collapsed="false">
      <c r="AH1206" s="21" t="n">
        <f aca="false">IF($AG$4=0,0,IF($AG$6=0,0,IF(INDEX($A1206:$AD1206,$AG$4)="",0,IF(INDEX($A1206:$AD1206,$AG$6)&lt;&gt;"NON-COMPLIED",0,IF(COUNTIFS(INDEX($A$3:$AD$1206,0,$AG$4),INDEX($A1206:$AD1206,$AG$4),INDEX($A$3:$AD$1206,0,$AG$6),"NON-COMPLIED")=1,1,0)))))</f>
        <v>0</v>
      </c>
    </row>
    <row r="1207" customFormat="false" ht="15" hidden="false" customHeight="false" outlineLevel="0" collapsed="false">
      <c r="AH1207" s="21" t="n">
        <f aca="false">IF($AG$4=0,0,IF($AG$6=0,0,IF(INDEX($A1207:$AD1207,$AG$4)="",0,IF(INDEX($A1207:$AD1207,$AG$6)&lt;&gt;"NON-COMPLIED",0,IF(COUNTIFS(INDEX($A$3:$AD$1207,0,$AG$4),INDEX($A1207:$AD1207,$AG$4),INDEX($A$3:$AD$1207,0,$AG$6),"NON-COMPLIED")=1,1,0)))))</f>
        <v>0</v>
      </c>
    </row>
    <row r="1208" customFormat="false" ht="15" hidden="false" customHeight="false" outlineLevel="0" collapsed="false">
      <c r="AH1208" s="21" t="n">
        <f aca="false">IF($AG$4=0,0,IF($AG$6=0,0,IF(INDEX($A1208:$AD1208,$AG$4)="",0,IF(INDEX($A1208:$AD1208,$AG$6)&lt;&gt;"NON-COMPLIED",0,IF(COUNTIFS(INDEX($A$3:$AD$1208,0,$AG$4),INDEX($A1208:$AD1208,$AG$4),INDEX($A$3:$AD$1208,0,$AG$6),"NON-COMPLIED")=1,1,0)))))</f>
        <v>0</v>
      </c>
    </row>
    <row r="1209" customFormat="false" ht="15" hidden="false" customHeight="false" outlineLevel="0" collapsed="false">
      <c r="AH1209" s="21" t="n">
        <f aca="false">IF($AG$4=0,0,IF($AG$6=0,0,IF(INDEX($A1209:$AD1209,$AG$4)="",0,IF(INDEX($A1209:$AD1209,$AG$6)&lt;&gt;"NON-COMPLIED",0,IF(COUNTIFS(INDEX($A$3:$AD$1209,0,$AG$4),INDEX($A1209:$AD1209,$AG$4),INDEX($A$3:$AD$1209,0,$AG$6),"NON-COMPLIED")=1,1,0)))))</f>
        <v>0</v>
      </c>
    </row>
    <row r="1210" customFormat="false" ht="15" hidden="false" customHeight="false" outlineLevel="0" collapsed="false">
      <c r="AH1210" s="21" t="n">
        <f aca="false">IF($AG$4=0,0,IF($AG$6=0,0,IF(INDEX($A1210:$AD1210,$AG$4)="",0,IF(INDEX($A1210:$AD1210,$AG$6)&lt;&gt;"NON-COMPLIED",0,IF(COUNTIFS(INDEX($A$3:$AD$1210,0,$AG$4),INDEX($A1210:$AD1210,$AG$4),INDEX($A$3:$AD$1210,0,$AG$6),"NON-COMPLIED")=1,1,0)))))</f>
        <v>0</v>
      </c>
    </row>
    <row r="1211" customFormat="false" ht="15" hidden="false" customHeight="false" outlineLevel="0" collapsed="false">
      <c r="AH1211" s="21" t="n">
        <f aca="false">IF($AG$4=0,0,IF($AG$6=0,0,IF(INDEX($A1211:$AD1211,$AG$4)="",0,IF(INDEX($A1211:$AD1211,$AG$6)&lt;&gt;"NON-COMPLIED",0,IF(COUNTIFS(INDEX($A$3:$AD$1211,0,$AG$4),INDEX($A1211:$AD1211,$AG$4),INDEX($A$3:$AD$1211,0,$AG$6),"NON-COMPLIED")=1,1,0)))))</f>
        <v>0</v>
      </c>
    </row>
    <row r="1212" customFormat="false" ht="15" hidden="false" customHeight="false" outlineLevel="0" collapsed="false">
      <c r="AH1212" s="21" t="n">
        <f aca="false">IF($AG$4=0,0,IF($AG$6=0,0,IF(INDEX($A1212:$AD1212,$AG$4)="",0,IF(INDEX($A1212:$AD1212,$AG$6)&lt;&gt;"NON-COMPLIED",0,IF(COUNTIFS(INDEX($A$3:$AD$1212,0,$AG$4),INDEX($A1212:$AD1212,$AG$4),INDEX($A$3:$AD$1212,0,$AG$6),"NON-COMPLIED")=1,1,0)))))</f>
        <v>0</v>
      </c>
    </row>
    <row r="1213" customFormat="false" ht="15" hidden="false" customHeight="false" outlineLevel="0" collapsed="false">
      <c r="AH1213" s="21" t="n">
        <f aca="false">IF($AG$4=0,0,IF($AG$6=0,0,IF(INDEX($A1213:$AD1213,$AG$4)="",0,IF(INDEX($A1213:$AD1213,$AG$6)&lt;&gt;"NON-COMPLIED",0,IF(COUNTIFS(INDEX($A$3:$AD$1213,0,$AG$4),INDEX($A1213:$AD1213,$AG$4),INDEX($A$3:$AD$1213,0,$AG$6),"NON-COMPLIED")=1,1,0)))))</f>
        <v>0</v>
      </c>
    </row>
    <row r="1214" customFormat="false" ht="15" hidden="false" customHeight="false" outlineLevel="0" collapsed="false">
      <c r="AH1214" s="21" t="n">
        <f aca="false">IF($AG$4=0,0,IF($AG$6=0,0,IF(INDEX($A1214:$AD1214,$AG$4)="",0,IF(INDEX($A1214:$AD1214,$AG$6)&lt;&gt;"NON-COMPLIED",0,IF(COUNTIFS(INDEX($A$3:$AD$1214,0,$AG$4),INDEX($A1214:$AD1214,$AG$4),INDEX($A$3:$AD$1214,0,$AG$6),"NON-COMPLIED")=1,1,0)))))</f>
        <v>0</v>
      </c>
    </row>
    <row r="1215" customFormat="false" ht="15" hidden="false" customHeight="false" outlineLevel="0" collapsed="false">
      <c r="AH1215" s="21" t="n">
        <f aca="false">IF($AG$4=0,0,IF($AG$6=0,0,IF(INDEX($A1215:$AD1215,$AG$4)="",0,IF(INDEX($A1215:$AD1215,$AG$6)&lt;&gt;"NON-COMPLIED",0,IF(COUNTIFS(INDEX($A$3:$AD$1215,0,$AG$4),INDEX($A1215:$AD1215,$AG$4),INDEX($A$3:$AD$1215,0,$AG$6),"NON-COMPLIED")=1,1,0)))))</f>
        <v>0</v>
      </c>
    </row>
    <row r="1216" customFormat="false" ht="15" hidden="false" customHeight="false" outlineLevel="0" collapsed="false">
      <c r="AH1216" s="21" t="n">
        <f aca="false">IF($AG$4=0,0,IF($AG$6=0,0,IF(INDEX($A1216:$AD1216,$AG$4)="",0,IF(INDEX($A1216:$AD1216,$AG$6)&lt;&gt;"NON-COMPLIED",0,IF(COUNTIFS(INDEX($A$3:$AD$1216,0,$AG$4),INDEX($A1216:$AD1216,$AG$4),INDEX($A$3:$AD$1216,0,$AG$6),"NON-COMPLIED")=1,1,0)))))</f>
        <v>0</v>
      </c>
    </row>
    <row r="1217" customFormat="false" ht="15" hidden="false" customHeight="false" outlineLevel="0" collapsed="false">
      <c r="AH1217" s="21" t="n">
        <f aca="false">IF($AG$4=0,0,IF($AG$6=0,0,IF(INDEX($A1217:$AD1217,$AG$4)="",0,IF(INDEX($A1217:$AD1217,$AG$6)&lt;&gt;"NON-COMPLIED",0,IF(COUNTIFS(INDEX($A$3:$AD$1217,0,$AG$4),INDEX($A1217:$AD1217,$AG$4),INDEX($A$3:$AD$1217,0,$AG$6),"NON-COMPLIED")=1,1,0)))))</f>
        <v>0</v>
      </c>
    </row>
    <row r="1218" customFormat="false" ht="15" hidden="false" customHeight="false" outlineLevel="0" collapsed="false">
      <c r="AH1218" s="21" t="n">
        <f aca="false">IF($AG$4=0,0,IF($AG$6=0,0,IF(INDEX($A1218:$AD1218,$AG$4)="",0,IF(INDEX($A1218:$AD1218,$AG$6)&lt;&gt;"NON-COMPLIED",0,IF(COUNTIFS(INDEX($A$3:$AD$1218,0,$AG$4),INDEX($A1218:$AD1218,$AG$4),INDEX($A$3:$AD$1218,0,$AG$6),"NON-COMPLIED")=1,1,0)))))</f>
        <v>0</v>
      </c>
    </row>
    <row r="1219" customFormat="false" ht="15" hidden="false" customHeight="false" outlineLevel="0" collapsed="false">
      <c r="AH1219" s="21" t="n">
        <f aca="false">IF($AG$4=0,0,IF($AG$6=0,0,IF(INDEX($A1219:$AD1219,$AG$4)="",0,IF(INDEX($A1219:$AD1219,$AG$6)&lt;&gt;"NON-COMPLIED",0,IF(COUNTIFS(INDEX($A$3:$AD$1219,0,$AG$4),INDEX($A1219:$AD1219,$AG$4),INDEX($A$3:$AD$1219,0,$AG$6),"NON-COMPLIED")=1,1,0)))))</f>
        <v>0</v>
      </c>
    </row>
    <row r="1220" customFormat="false" ht="15" hidden="false" customHeight="false" outlineLevel="0" collapsed="false">
      <c r="AH1220" s="21" t="n">
        <f aca="false">IF($AG$4=0,0,IF($AG$6=0,0,IF(INDEX($A1220:$AD1220,$AG$4)="",0,IF(INDEX($A1220:$AD1220,$AG$6)&lt;&gt;"NON-COMPLIED",0,IF(COUNTIFS(INDEX($A$3:$AD$1220,0,$AG$4),INDEX($A1220:$AD1220,$AG$4),INDEX($A$3:$AD$1220,0,$AG$6),"NON-COMPLIED")=1,1,0)))))</f>
        <v>0</v>
      </c>
    </row>
    <row r="1221" customFormat="false" ht="15" hidden="false" customHeight="false" outlineLevel="0" collapsed="false">
      <c r="AH1221" s="21" t="n">
        <f aca="false">IF($AG$4=0,0,IF($AG$6=0,0,IF(INDEX($A1221:$AD1221,$AG$4)="",0,IF(INDEX($A1221:$AD1221,$AG$6)&lt;&gt;"NON-COMPLIED",0,IF(COUNTIFS(INDEX($A$3:$AD$1221,0,$AG$4),INDEX($A1221:$AD1221,$AG$4),INDEX($A$3:$AD$1221,0,$AG$6),"NON-COMPLIED")=1,1,0)))))</f>
        <v>0</v>
      </c>
    </row>
    <row r="1222" customFormat="false" ht="15" hidden="false" customHeight="false" outlineLevel="0" collapsed="false">
      <c r="AH1222" s="21" t="n">
        <f aca="false">IF($AG$4=0,0,IF($AG$6=0,0,IF(INDEX($A1222:$AD1222,$AG$4)="",0,IF(INDEX($A1222:$AD1222,$AG$6)&lt;&gt;"NON-COMPLIED",0,IF(COUNTIFS(INDEX($A$3:$AD$1222,0,$AG$4),INDEX($A1222:$AD1222,$AG$4),INDEX($A$3:$AD$1222,0,$AG$6),"NON-COMPLIED")=1,1,0)))))</f>
        <v>0</v>
      </c>
    </row>
    <row r="1223" customFormat="false" ht="15" hidden="false" customHeight="false" outlineLevel="0" collapsed="false">
      <c r="AH1223" s="21" t="n">
        <f aca="false">IF($AG$4=0,0,IF($AG$6=0,0,IF(INDEX($A1223:$AD1223,$AG$4)="",0,IF(INDEX($A1223:$AD1223,$AG$6)&lt;&gt;"NON-COMPLIED",0,IF(COUNTIFS(INDEX($A$3:$AD$1223,0,$AG$4),INDEX($A1223:$AD1223,$AG$4),INDEX($A$3:$AD$1223,0,$AG$6),"NON-COMPLIED")=1,1,0)))))</f>
        <v>0</v>
      </c>
    </row>
    <row r="1224" customFormat="false" ht="15" hidden="false" customHeight="false" outlineLevel="0" collapsed="false">
      <c r="AH1224" s="21" t="n">
        <f aca="false">IF($AG$4=0,0,IF($AG$6=0,0,IF(INDEX($A1224:$AD1224,$AG$4)="",0,IF(INDEX($A1224:$AD1224,$AG$6)&lt;&gt;"NON-COMPLIED",0,IF(COUNTIFS(INDEX($A$3:$AD$1224,0,$AG$4),INDEX($A1224:$AD1224,$AG$4),INDEX($A$3:$AD$1224,0,$AG$6),"NON-COMPLIED")=1,1,0)))))</f>
        <v>0</v>
      </c>
    </row>
    <row r="1225" customFormat="false" ht="15" hidden="false" customHeight="false" outlineLevel="0" collapsed="false">
      <c r="AH1225" s="21" t="n">
        <f aca="false">IF($AG$4=0,0,IF($AG$6=0,0,IF(INDEX($A1225:$AD1225,$AG$4)="",0,IF(INDEX($A1225:$AD1225,$AG$6)&lt;&gt;"NON-COMPLIED",0,IF(COUNTIFS(INDEX($A$3:$AD$1225,0,$AG$4),INDEX($A1225:$AD1225,$AG$4),INDEX($A$3:$AD$1225,0,$AG$6),"NON-COMPLIED")=1,1,0)))))</f>
        <v>0</v>
      </c>
    </row>
    <row r="1226" customFormat="false" ht="15" hidden="false" customHeight="false" outlineLevel="0" collapsed="false">
      <c r="AH1226" s="21" t="n">
        <f aca="false">IF($AG$4=0,0,IF($AG$6=0,0,IF(INDEX($A1226:$AD1226,$AG$4)="",0,IF(INDEX($A1226:$AD1226,$AG$6)&lt;&gt;"NON-COMPLIED",0,IF(COUNTIFS(INDEX($A$3:$AD$1226,0,$AG$4),INDEX($A1226:$AD1226,$AG$4),INDEX($A$3:$AD$1226,0,$AG$6),"NON-COMPLIED")=1,1,0)))))</f>
        <v>0</v>
      </c>
    </row>
    <row r="1227" customFormat="false" ht="15" hidden="false" customHeight="false" outlineLevel="0" collapsed="false">
      <c r="AH1227" s="21" t="n">
        <f aca="false">IF($AG$4=0,0,IF($AG$6=0,0,IF(INDEX($A1227:$AD1227,$AG$4)="",0,IF(INDEX($A1227:$AD1227,$AG$6)&lt;&gt;"NON-COMPLIED",0,IF(COUNTIFS(INDEX($A$3:$AD$1227,0,$AG$4),INDEX($A1227:$AD1227,$AG$4),INDEX($A$3:$AD$1227,0,$AG$6),"NON-COMPLIED")=1,1,0)))))</f>
        <v>0</v>
      </c>
    </row>
    <row r="1228" customFormat="false" ht="15" hidden="false" customHeight="false" outlineLevel="0" collapsed="false">
      <c r="AH1228" s="21" t="n">
        <f aca="false">IF($AG$4=0,0,IF($AG$6=0,0,IF(INDEX($A1228:$AD1228,$AG$4)="",0,IF(INDEX($A1228:$AD1228,$AG$6)&lt;&gt;"NON-COMPLIED",0,IF(COUNTIFS(INDEX($A$3:$AD$1228,0,$AG$4),INDEX($A1228:$AD1228,$AG$4),INDEX($A$3:$AD$1228,0,$AG$6),"NON-COMPLIED")=1,1,0)))))</f>
        <v>0</v>
      </c>
    </row>
    <row r="1229" customFormat="false" ht="15" hidden="false" customHeight="false" outlineLevel="0" collapsed="false">
      <c r="AH1229" s="21" t="n">
        <f aca="false">IF($AG$4=0,0,IF($AG$6=0,0,IF(INDEX($A1229:$AD1229,$AG$4)="",0,IF(INDEX($A1229:$AD1229,$AG$6)&lt;&gt;"NON-COMPLIED",0,IF(COUNTIFS(INDEX($A$3:$AD$1229,0,$AG$4),INDEX($A1229:$AD1229,$AG$4),INDEX($A$3:$AD$1229,0,$AG$6),"NON-COMPLIED")=1,1,0)))))</f>
        <v>0</v>
      </c>
    </row>
    <row r="1230" customFormat="false" ht="15" hidden="false" customHeight="false" outlineLevel="0" collapsed="false">
      <c r="AH1230" s="21" t="n">
        <f aca="false">IF($AG$4=0,0,IF($AG$6=0,0,IF(INDEX($A1230:$AD1230,$AG$4)="",0,IF(INDEX($A1230:$AD1230,$AG$6)&lt;&gt;"NON-COMPLIED",0,IF(COUNTIFS(INDEX($A$3:$AD$1230,0,$AG$4),INDEX($A1230:$AD1230,$AG$4),INDEX($A$3:$AD$1230,0,$AG$6),"NON-COMPLIED")=1,1,0)))))</f>
        <v>0</v>
      </c>
    </row>
    <row r="1231" customFormat="false" ht="15" hidden="false" customHeight="false" outlineLevel="0" collapsed="false">
      <c r="AH1231" s="21" t="n">
        <f aca="false">IF($AG$4=0,0,IF($AG$6=0,0,IF(INDEX($A1231:$AD1231,$AG$4)="",0,IF(INDEX($A1231:$AD1231,$AG$6)&lt;&gt;"NON-COMPLIED",0,IF(COUNTIFS(INDEX($A$3:$AD$1231,0,$AG$4),INDEX($A1231:$AD1231,$AG$4),INDEX($A$3:$AD$1231,0,$AG$6),"NON-COMPLIED")=1,1,0)))))</f>
        <v>0</v>
      </c>
    </row>
    <row r="1232" customFormat="false" ht="15" hidden="false" customHeight="false" outlineLevel="0" collapsed="false">
      <c r="AH1232" s="21" t="n">
        <f aca="false">IF($AG$4=0,0,IF($AG$6=0,0,IF(INDEX($A1232:$AD1232,$AG$4)="",0,IF(INDEX($A1232:$AD1232,$AG$6)&lt;&gt;"NON-COMPLIED",0,IF(COUNTIFS(INDEX($A$3:$AD$1232,0,$AG$4),INDEX($A1232:$AD1232,$AG$4),INDEX($A$3:$AD$1232,0,$AG$6),"NON-COMPLIED")=1,1,0)))))</f>
        <v>0</v>
      </c>
    </row>
    <row r="1233" customFormat="false" ht="15" hidden="false" customHeight="false" outlineLevel="0" collapsed="false">
      <c r="AH1233" s="21" t="n">
        <f aca="false">IF($AG$4=0,0,IF($AG$6=0,0,IF(INDEX($A1233:$AD1233,$AG$4)="",0,IF(INDEX($A1233:$AD1233,$AG$6)&lt;&gt;"NON-COMPLIED",0,IF(COUNTIFS(INDEX($A$3:$AD$1233,0,$AG$4),INDEX($A1233:$AD1233,$AG$4),INDEX($A$3:$AD$1233,0,$AG$6),"NON-COMPLIED")=1,1,0)))))</f>
        <v>0</v>
      </c>
    </row>
    <row r="1234" customFormat="false" ht="15" hidden="false" customHeight="false" outlineLevel="0" collapsed="false">
      <c r="AH1234" s="21" t="n">
        <f aca="false">IF($AG$4=0,0,IF($AG$6=0,0,IF(INDEX($A1234:$AD1234,$AG$4)="",0,IF(INDEX($A1234:$AD1234,$AG$6)&lt;&gt;"NON-COMPLIED",0,IF(COUNTIFS(INDEX($A$3:$AD$1234,0,$AG$4),INDEX($A1234:$AD1234,$AG$4),INDEX($A$3:$AD$1234,0,$AG$6),"NON-COMPLIED")=1,1,0)))))</f>
        <v>0</v>
      </c>
    </row>
    <row r="1235" customFormat="false" ht="15" hidden="false" customHeight="false" outlineLevel="0" collapsed="false">
      <c r="AH1235" s="21" t="n">
        <f aca="false">IF($AG$4=0,0,IF($AG$6=0,0,IF(INDEX($A1235:$AD1235,$AG$4)="",0,IF(INDEX($A1235:$AD1235,$AG$6)&lt;&gt;"NON-COMPLIED",0,IF(COUNTIFS(INDEX($A$3:$AD$1235,0,$AG$4),INDEX($A1235:$AD1235,$AG$4),INDEX($A$3:$AD$1235,0,$AG$6),"NON-COMPLIED")=1,1,0)))))</f>
        <v>0</v>
      </c>
    </row>
    <row r="1236" customFormat="false" ht="15" hidden="false" customHeight="false" outlineLevel="0" collapsed="false">
      <c r="AH1236" s="21" t="n">
        <f aca="false">IF($AG$4=0,0,IF($AG$6=0,0,IF(INDEX($A1236:$AD1236,$AG$4)="",0,IF(INDEX($A1236:$AD1236,$AG$6)&lt;&gt;"NON-COMPLIED",0,IF(COUNTIFS(INDEX($A$3:$AD$1236,0,$AG$4),INDEX($A1236:$AD1236,$AG$4),INDEX($A$3:$AD$1236,0,$AG$6),"NON-COMPLIED")=1,1,0)))))</f>
        <v>0</v>
      </c>
    </row>
    <row r="1237" customFormat="false" ht="15" hidden="false" customHeight="false" outlineLevel="0" collapsed="false">
      <c r="AH1237" s="21" t="n">
        <f aca="false">IF($AG$4=0,0,IF($AG$6=0,0,IF(INDEX($A1237:$AD1237,$AG$4)="",0,IF(INDEX($A1237:$AD1237,$AG$6)&lt;&gt;"NON-COMPLIED",0,IF(COUNTIFS(INDEX($A$3:$AD$1237,0,$AG$4),INDEX($A1237:$AD1237,$AG$4),INDEX($A$3:$AD$1237,0,$AG$6),"NON-COMPLIED")=1,1,0)))))</f>
        <v>0</v>
      </c>
    </row>
    <row r="1238" customFormat="false" ht="15" hidden="false" customHeight="false" outlineLevel="0" collapsed="false">
      <c r="AH1238" s="21" t="n">
        <f aca="false">IF($AG$4=0,0,IF($AG$6=0,0,IF(INDEX($A1238:$AD1238,$AG$4)="",0,IF(INDEX($A1238:$AD1238,$AG$6)&lt;&gt;"NON-COMPLIED",0,IF(COUNTIFS(INDEX($A$3:$AD$1238,0,$AG$4),INDEX($A1238:$AD1238,$AG$4),INDEX($A$3:$AD$1238,0,$AG$6),"NON-COMPLIED")=1,1,0)))))</f>
        <v>0</v>
      </c>
    </row>
    <row r="1239" customFormat="false" ht="15" hidden="false" customHeight="false" outlineLevel="0" collapsed="false">
      <c r="AH1239" s="21" t="n">
        <f aca="false">IF($AG$4=0,0,IF($AG$6=0,0,IF(INDEX($A1239:$AD1239,$AG$4)="",0,IF(INDEX($A1239:$AD1239,$AG$6)&lt;&gt;"NON-COMPLIED",0,IF(COUNTIFS(INDEX($A$3:$AD$1239,0,$AG$4),INDEX($A1239:$AD1239,$AG$4),INDEX($A$3:$AD$1239,0,$AG$6),"NON-COMPLIED")=1,1,0)))))</f>
        <v>0</v>
      </c>
    </row>
    <row r="1240" customFormat="false" ht="15" hidden="false" customHeight="false" outlineLevel="0" collapsed="false">
      <c r="AH1240" s="21" t="n">
        <f aca="false">IF($AG$4=0,0,IF($AG$6=0,0,IF(INDEX($A1240:$AD1240,$AG$4)="",0,IF(INDEX($A1240:$AD1240,$AG$6)&lt;&gt;"NON-COMPLIED",0,IF(COUNTIFS(INDEX($A$3:$AD$1240,0,$AG$4),INDEX($A1240:$AD1240,$AG$4),INDEX($A$3:$AD$1240,0,$AG$6),"NON-COMPLIED")=1,1,0)))))</f>
        <v>0</v>
      </c>
    </row>
    <row r="1241" customFormat="false" ht="15" hidden="false" customHeight="false" outlineLevel="0" collapsed="false">
      <c r="AH1241" s="21" t="n">
        <f aca="false">IF($AG$4=0,0,IF($AG$6=0,0,IF(INDEX($A1241:$AD1241,$AG$4)="",0,IF(INDEX($A1241:$AD1241,$AG$6)&lt;&gt;"NON-COMPLIED",0,IF(COUNTIFS(INDEX($A$3:$AD$1241,0,$AG$4),INDEX($A1241:$AD1241,$AG$4),INDEX($A$3:$AD$1241,0,$AG$6),"NON-COMPLIED")=1,1,0)))))</f>
        <v>0</v>
      </c>
    </row>
    <row r="1242" customFormat="false" ht="15" hidden="false" customHeight="false" outlineLevel="0" collapsed="false">
      <c r="AH1242" s="21" t="n">
        <f aca="false">IF($AG$4=0,0,IF($AG$6=0,0,IF(INDEX($A1242:$AD1242,$AG$4)="",0,IF(INDEX($A1242:$AD1242,$AG$6)&lt;&gt;"NON-COMPLIED",0,IF(COUNTIFS(INDEX($A$3:$AD$1242,0,$AG$4),INDEX($A1242:$AD1242,$AG$4),INDEX($A$3:$AD$1242,0,$AG$6),"NON-COMPLIED")=1,1,0)))))</f>
        <v>0</v>
      </c>
    </row>
    <row r="1243" customFormat="false" ht="15" hidden="false" customHeight="false" outlineLevel="0" collapsed="false">
      <c r="AH1243" s="21" t="n">
        <f aca="false">IF($AG$4=0,0,IF($AG$6=0,0,IF(INDEX($A1243:$AD1243,$AG$4)="",0,IF(INDEX($A1243:$AD1243,$AG$6)&lt;&gt;"NON-COMPLIED",0,IF(COUNTIFS(INDEX($A$3:$AD$1243,0,$AG$4),INDEX($A1243:$AD1243,$AG$4),INDEX($A$3:$AD$1243,0,$AG$6),"NON-COMPLIED")=1,1,0)))))</f>
        <v>0</v>
      </c>
    </row>
    <row r="1244" customFormat="false" ht="15" hidden="false" customHeight="false" outlineLevel="0" collapsed="false">
      <c r="AH1244" s="21" t="n">
        <f aca="false">IF($AG$4=0,0,IF($AG$6=0,0,IF(INDEX($A1244:$AD1244,$AG$4)="",0,IF(INDEX($A1244:$AD1244,$AG$6)&lt;&gt;"NON-COMPLIED",0,IF(COUNTIFS(INDEX($A$3:$AD$1244,0,$AG$4),INDEX($A1244:$AD1244,$AG$4),INDEX($A$3:$AD$1244,0,$AG$6),"NON-COMPLIED")=1,1,0)))))</f>
        <v>0</v>
      </c>
    </row>
    <row r="1245" customFormat="false" ht="15" hidden="false" customHeight="false" outlineLevel="0" collapsed="false">
      <c r="AH1245" s="21" t="n">
        <f aca="false">IF($AG$4=0,0,IF($AG$6=0,0,IF(INDEX($A1245:$AD1245,$AG$4)="",0,IF(INDEX($A1245:$AD1245,$AG$6)&lt;&gt;"NON-COMPLIED",0,IF(COUNTIFS(INDEX($A$3:$AD$1245,0,$AG$4),INDEX($A1245:$AD1245,$AG$4),INDEX($A$3:$AD$1245,0,$AG$6),"NON-COMPLIED")=1,1,0)))))</f>
        <v>0</v>
      </c>
    </row>
    <row r="1246" customFormat="false" ht="15" hidden="false" customHeight="false" outlineLevel="0" collapsed="false">
      <c r="AH1246" s="21" t="n">
        <f aca="false">IF($AG$4=0,0,IF($AG$6=0,0,IF(INDEX($A1246:$AD1246,$AG$4)="",0,IF(INDEX($A1246:$AD1246,$AG$6)&lt;&gt;"NON-COMPLIED",0,IF(COUNTIFS(INDEX($A$3:$AD$1246,0,$AG$4),INDEX($A1246:$AD1246,$AG$4),INDEX($A$3:$AD$1246,0,$AG$6),"NON-COMPLIED")=1,1,0)))))</f>
        <v>0</v>
      </c>
    </row>
    <row r="1247" customFormat="false" ht="15" hidden="false" customHeight="false" outlineLevel="0" collapsed="false">
      <c r="AH1247" s="21" t="n">
        <f aca="false">IF($AG$4=0,0,IF($AG$6=0,0,IF(INDEX($A1247:$AD1247,$AG$4)="",0,IF(INDEX($A1247:$AD1247,$AG$6)&lt;&gt;"NON-COMPLIED",0,IF(COUNTIFS(INDEX($A$3:$AD$1247,0,$AG$4),INDEX($A1247:$AD1247,$AG$4),INDEX($A$3:$AD$1247,0,$AG$6),"NON-COMPLIED")=1,1,0)))))</f>
        <v>0</v>
      </c>
    </row>
    <row r="1248" customFormat="false" ht="15" hidden="false" customHeight="false" outlineLevel="0" collapsed="false">
      <c r="AH1248" s="21" t="n">
        <f aca="false">IF($AG$4=0,0,IF($AG$6=0,0,IF(INDEX($A1248:$AD1248,$AG$4)="",0,IF(INDEX($A1248:$AD1248,$AG$6)&lt;&gt;"NON-COMPLIED",0,IF(COUNTIFS(INDEX($A$3:$AD$1248,0,$AG$4),INDEX($A1248:$AD1248,$AG$4),INDEX($A$3:$AD$1248,0,$AG$6),"NON-COMPLIED")=1,1,0)))))</f>
        <v>0</v>
      </c>
    </row>
    <row r="1249" customFormat="false" ht="15" hidden="false" customHeight="false" outlineLevel="0" collapsed="false">
      <c r="AH1249" s="21" t="n">
        <f aca="false">IF($AG$4=0,0,IF($AG$6=0,0,IF(INDEX($A1249:$AD1249,$AG$4)="",0,IF(INDEX($A1249:$AD1249,$AG$6)&lt;&gt;"NON-COMPLIED",0,IF(COUNTIFS(INDEX($A$3:$AD$1249,0,$AG$4),INDEX($A1249:$AD1249,$AG$4),INDEX($A$3:$AD$1249,0,$AG$6),"NON-COMPLIED")=1,1,0)))))</f>
        <v>0</v>
      </c>
    </row>
    <row r="1250" customFormat="false" ht="15" hidden="false" customHeight="false" outlineLevel="0" collapsed="false">
      <c r="AH1250" s="21" t="n">
        <f aca="false">IF($AG$4=0,0,IF($AG$6=0,0,IF(INDEX($A1250:$AD1250,$AG$4)="",0,IF(INDEX($A1250:$AD1250,$AG$6)&lt;&gt;"NON-COMPLIED",0,IF(COUNTIFS(INDEX($A$3:$AD$1250,0,$AG$4),INDEX($A1250:$AD1250,$AG$4),INDEX($A$3:$AD$1250,0,$AG$6),"NON-COMPLIED")=1,1,0)))))</f>
        <v>0</v>
      </c>
    </row>
    <row r="1251" customFormat="false" ht="15" hidden="false" customHeight="false" outlineLevel="0" collapsed="false">
      <c r="AH1251" s="21" t="n">
        <f aca="false">IF($AG$4=0,0,IF($AG$6=0,0,IF(INDEX($A1251:$AD1251,$AG$4)="",0,IF(INDEX($A1251:$AD1251,$AG$6)&lt;&gt;"NON-COMPLIED",0,IF(COUNTIFS(INDEX($A$3:$AD$1251,0,$AG$4),INDEX($A1251:$AD1251,$AG$4),INDEX($A$3:$AD$1251,0,$AG$6),"NON-COMPLIED")=1,1,0)))))</f>
        <v>0</v>
      </c>
    </row>
    <row r="1252" customFormat="false" ht="15" hidden="false" customHeight="false" outlineLevel="0" collapsed="false">
      <c r="AH1252" s="21" t="n">
        <f aca="false">IF($AG$4=0,0,IF($AG$6=0,0,IF(INDEX($A1252:$AD1252,$AG$4)="",0,IF(INDEX($A1252:$AD1252,$AG$6)&lt;&gt;"NON-COMPLIED",0,IF(COUNTIFS(INDEX($A$3:$AD$1252,0,$AG$4),INDEX($A1252:$AD1252,$AG$4),INDEX($A$3:$AD$1252,0,$AG$6),"NON-COMPLIED")=1,1,0)))))</f>
        <v>0</v>
      </c>
    </row>
    <row r="1253" customFormat="false" ht="15" hidden="false" customHeight="false" outlineLevel="0" collapsed="false">
      <c r="AH1253" s="21" t="n">
        <f aca="false">IF($AG$4=0,0,IF($AG$6=0,0,IF(INDEX($A1253:$AD1253,$AG$4)="",0,IF(INDEX($A1253:$AD1253,$AG$6)&lt;&gt;"NON-COMPLIED",0,IF(COUNTIFS(INDEX($A$3:$AD$1253,0,$AG$4),INDEX($A1253:$AD1253,$AG$4),INDEX($A$3:$AD$1253,0,$AG$6),"NON-COMPLIED")=1,1,0)))))</f>
        <v>0</v>
      </c>
    </row>
    <row r="1254" customFormat="false" ht="15" hidden="false" customHeight="false" outlineLevel="0" collapsed="false">
      <c r="AH1254" s="21" t="n">
        <f aca="false">IF($AG$4=0,0,IF($AG$6=0,0,IF(INDEX($A1254:$AD1254,$AG$4)="",0,IF(INDEX($A1254:$AD1254,$AG$6)&lt;&gt;"NON-COMPLIED",0,IF(COUNTIFS(INDEX($A$3:$AD$1254,0,$AG$4),INDEX($A1254:$AD1254,$AG$4),INDEX($A$3:$AD$1254,0,$AG$6),"NON-COMPLIED")=1,1,0)))))</f>
        <v>0</v>
      </c>
    </row>
    <row r="1255" customFormat="false" ht="15" hidden="false" customHeight="false" outlineLevel="0" collapsed="false">
      <c r="AH1255" s="21" t="n">
        <f aca="false">IF($AG$4=0,0,IF($AG$6=0,0,IF(INDEX($A1255:$AD1255,$AG$4)="",0,IF(INDEX($A1255:$AD1255,$AG$6)&lt;&gt;"NON-COMPLIED",0,IF(COUNTIFS(INDEX($A$3:$AD$1255,0,$AG$4),INDEX($A1255:$AD1255,$AG$4),INDEX($A$3:$AD$1255,0,$AG$6),"NON-COMPLIED")=1,1,0)))))</f>
        <v>0</v>
      </c>
    </row>
    <row r="1256" customFormat="false" ht="15" hidden="false" customHeight="false" outlineLevel="0" collapsed="false">
      <c r="AH1256" s="21" t="n">
        <f aca="false">IF($AG$4=0,0,IF($AG$6=0,0,IF(INDEX($A1256:$AD1256,$AG$4)="",0,IF(INDEX($A1256:$AD1256,$AG$6)&lt;&gt;"NON-COMPLIED",0,IF(COUNTIFS(INDEX($A$3:$AD$1256,0,$AG$4),INDEX($A1256:$AD1256,$AG$4),INDEX($A$3:$AD$1256,0,$AG$6),"NON-COMPLIED")=1,1,0)))))</f>
        <v>0</v>
      </c>
    </row>
    <row r="1257" customFormat="false" ht="15" hidden="false" customHeight="false" outlineLevel="0" collapsed="false">
      <c r="AH1257" s="21" t="n">
        <f aca="false">IF($AG$4=0,0,IF($AG$6=0,0,IF(INDEX($A1257:$AD1257,$AG$4)="",0,IF(INDEX($A1257:$AD1257,$AG$6)&lt;&gt;"NON-COMPLIED",0,IF(COUNTIFS(INDEX($A$3:$AD$1257,0,$AG$4),INDEX($A1257:$AD1257,$AG$4),INDEX($A$3:$AD$1257,0,$AG$6),"NON-COMPLIED")=1,1,0)))))</f>
        <v>0</v>
      </c>
    </row>
    <row r="1258" customFormat="false" ht="15" hidden="false" customHeight="false" outlineLevel="0" collapsed="false">
      <c r="AH1258" s="21" t="n">
        <f aca="false">IF($AG$4=0,0,IF($AG$6=0,0,IF(INDEX($A1258:$AD1258,$AG$4)="",0,IF(INDEX($A1258:$AD1258,$AG$6)&lt;&gt;"NON-COMPLIED",0,IF(COUNTIFS(INDEX($A$3:$AD$1258,0,$AG$4),INDEX($A1258:$AD1258,$AG$4),INDEX($A$3:$AD$1258,0,$AG$6),"NON-COMPLIED")=1,1,0)))))</f>
        <v>0</v>
      </c>
    </row>
    <row r="1259" customFormat="false" ht="15" hidden="false" customHeight="false" outlineLevel="0" collapsed="false">
      <c r="AH1259" s="21" t="n">
        <f aca="false">IF($AG$4=0,0,IF($AG$6=0,0,IF(INDEX($A1259:$AD1259,$AG$4)="",0,IF(INDEX($A1259:$AD1259,$AG$6)&lt;&gt;"NON-COMPLIED",0,IF(COUNTIFS(INDEX($A$3:$AD$1259,0,$AG$4),INDEX($A1259:$AD1259,$AG$4),INDEX($A$3:$AD$1259,0,$AG$6),"NON-COMPLIED")=1,1,0)))))</f>
        <v>0</v>
      </c>
    </row>
    <row r="1260" customFormat="false" ht="15" hidden="false" customHeight="false" outlineLevel="0" collapsed="false">
      <c r="AH1260" s="21" t="n">
        <f aca="false">IF($AG$4=0,0,IF($AG$6=0,0,IF(INDEX($A1260:$AD1260,$AG$4)="",0,IF(INDEX($A1260:$AD1260,$AG$6)&lt;&gt;"NON-COMPLIED",0,IF(COUNTIFS(INDEX($A$3:$AD$1260,0,$AG$4),INDEX($A1260:$AD1260,$AG$4),INDEX($A$3:$AD$1260,0,$AG$6),"NON-COMPLIED")=1,1,0)))))</f>
        <v>0</v>
      </c>
    </row>
    <row r="1261" customFormat="false" ht="15" hidden="false" customHeight="false" outlineLevel="0" collapsed="false">
      <c r="AH1261" s="21" t="n">
        <f aca="false">IF($AG$4=0,0,IF($AG$6=0,0,IF(INDEX($A1261:$AD1261,$AG$4)="",0,IF(INDEX($A1261:$AD1261,$AG$6)&lt;&gt;"NON-COMPLIED",0,IF(COUNTIFS(INDEX($A$3:$AD$1261,0,$AG$4),INDEX($A1261:$AD1261,$AG$4),INDEX($A$3:$AD$1261,0,$AG$6),"NON-COMPLIED")=1,1,0)))))</f>
        <v>0</v>
      </c>
    </row>
    <row r="1262" customFormat="false" ht="15" hidden="false" customHeight="false" outlineLevel="0" collapsed="false">
      <c r="AH1262" s="21" t="n">
        <f aca="false">IF($AG$4=0,0,IF($AG$6=0,0,IF(INDEX($A1262:$AD1262,$AG$4)="",0,IF(INDEX($A1262:$AD1262,$AG$6)&lt;&gt;"NON-COMPLIED",0,IF(COUNTIFS(INDEX($A$3:$AD$1262,0,$AG$4),INDEX($A1262:$AD1262,$AG$4),INDEX($A$3:$AD$1262,0,$AG$6),"NON-COMPLIED")=1,1,0)))))</f>
        <v>0</v>
      </c>
    </row>
    <row r="1263" customFormat="false" ht="15" hidden="false" customHeight="false" outlineLevel="0" collapsed="false">
      <c r="AH1263" s="21" t="n">
        <f aca="false">IF($AG$4=0,0,IF($AG$6=0,0,IF(INDEX($A1263:$AD1263,$AG$4)="",0,IF(INDEX($A1263:$AD1263,$AG$6)&lt;&gt;"NON-COMPLIED",0,IF(COUNTIFS(INDEX($A$3:$AD$1263,0,$AG$4),INDEX($A1263:$AD1263,$AG$4),INDEX($A$3:$AD$1263,0,$AG$6),"NON-COMPLIED")=1,1,0)))))</f>
        <v>0</v>
      </c>
    </row>
    <row r="1264" customFormat="false" ht="15" hidden="false" customHeight="false" outlineLevel="0" collapsed="false">
      <c r="AH1264" s="21" t="n">
        <f aca="false">IF($AG$4=0,0,IF($AG$6=0,0,IF(INDEX($A1264:$AD1264,$AG$4)="",0,IF(INDEX($A1264:$AD1264,$AG$6)&lt;&gt;"NON-COMPLIED",0,IF(COUNTIFS(INDEX($A$3:$AD$1264,0,$AG$4),INDEX($A1264:$AD1264,$AG$4),INDEX($A$3:$AD$1264,0,$AG$6),"NON-COMPLIED")=1,1,0)))))</f>
        <v>0</v>
      </c>
    </row>
    <row r="1265" customFormat="false" ht="15" hidden="false" customHeight="false" outlineLevel="0" collapsed="false">
      <c r="AH1265" s="21" t="n">
        <f aca="false">IF($AG$4=0,0,IF($AG$6=0,0,IF(INDEX($A1265:$AD1265,$AG$4)="",0,IF(INDEX($A1265:$AD1265,$AG$6)&lt;&gt;"NON-COMPLIED",0,IF(COUNTIFS(INDEX($A$3:$AD$1265,0,$AG$4),INDEX($A1265:$AD1265,$AG$4),INDEX($A$3:$AD$1265,0,$AG$6),"NON-COMPLIED")=1,1,0)))))</f>
        <v>0</v>
      </c>
    </row>
    <row r="1266" customFormat="false" ht="15" hidden="false" customHeight="false" outlineLevel="0" collapsed="false">
      <c r="AH1266" s="21" t="n">
        <f aca="false">IF($AG$4=0,0,IF($AG$6=0,0,IF(INDEX($A1266:$AD1266,$AG$4)="",0,IF(INDEX($A1266:$AD1266,$AG$6)&lt;&gt;"NON-COMPLIED",0,IF(COUNTIFS(INDEX($A$3:$AD$1266,0,$AG$4),INDEX($A1266:$AD1266,$AG$4),INDEX($A$3:$AD$1266,0,$AG$6),"NON-COMPLIED")=1,1,0)))))</f>
        <v>0</v>
      </c>
    </row>
    <row r="1267" customFormat="false" ht="15" hidden="false" customHeight="false" outlineLevel="0" collapsed="false">
      <c r="AH1267" s="21" t="n">
        <f aca="false">IF($AG$4=0,0,IF($AG$6=0,0,IF(INDEX($A1267:$AD1267,$AG$4)="",0,IF(INDEX($A1267:$AD1267,$AG$6)&lt;&gt;"NON-COMPLIED",0,IF(COUNTIFS(INDEX($A$3:$AD$1267,0,$AG$4),INDEX($A1267:$AD1267,$AG$4),INDEX($A$3:$AD$1267,0,$AG$6),"NON-COMPLIED")=1,1,0)))))</f>
        <v>0</v>
      </c>
    </row>
    <row r="1268" customFormat="false" ht="15" hidden="false" customHeight="false" outlineLevel="0" collapsed="false">
      <c r="AH1268" s="21" t="n">
        <f aca="false">IF($AG$4=0,0,IF($AG$6=0,0,IF(INDEX($A1268:$AD1268,$AG$4)="",0,IF(INDEX($A1268:$AD1268,$AG$6)&lt;&gt;"NON-COMPLIED",0,IF(COUNTIFS(INDEX($A$3:$AD$1268,0,$AG$4),INDEX($A1268:$AD1268,$AG$4),INDEX($A$3:$AD$1268,0,$AG$6),"NON-COMPLIED")=1,1,0)))))</f>
        <v>0</v>
      </c>
    </row>
    <row r="1269" customFormat="false" ht="15" hidden="false" customHeight="false" outlineLevel="0" collapsed="false">
      <c r="AH1269" s="21" t="n">
        <f aca="false">IF($AG$4=0,0,IF($AG$6=0,0,IF(INDEX($A1269:$AD1269,$AG$4)="",0,IF(INDEX($A1269:$AD1269,$AG$6)&lt;&gt;"NON-COMPLIED",0,IF(COUNTIFS(INDEX($A$3:$AD$1269,0,$AG$4),INDEX($A1269:$AD1269,$AG$4),INDEX($A$3:$AD$1269,0,$AG$6),"NON-COMPLIED")=1,1,0)))))</f>
        <v>0</v>
      </c>
    </row>
    <row r="1270" customFormat="false" ht="15" hidden="false" customHeight="false" outlineLevel="0" collapsed="false">
      <c r="AH1270" s="21" t="n">
        <f aca="false">IF($AG$4=0,0,IF($AG$6=0,0,IF(INDEX($A1270:$AD1270,$AG$4)="",0,IF(INDEX($A1270:$AD1270,$AG$6)&lt;&gt;"NON-COMPLIED",0,IF(COUNTIFS(INDEX($A$3:$AD$1270,0,$AG$4),INDEX($A1270:$AD1270,$AG$4),INDEX($A$3:$AD$1270,0,$AG$6),"NON-COMPLIED")=1,1,0)))))</f>
        <v>0</v>
      </c>
    </row>
    <row r="1271" customFormat="false" ht="15" hidden="false" customHeight="false" outlineLevel="0" collapsed="false">
      <c r="AH1271" s="21" t="n">
        <f aca="false">IF($AG$4=0,0,IF($AG$6=0,0,IF(INDEX($A1271:$AD1271,$AG$4)="",0,IF(INDEX($A1271:$AD1271,$AG$6)&lt;&gt;"NON-COMPLIED",0,IF(COUNTIFS(INDEX($A$3:$AD$1271,0,$AG$4),INDEX($A1271:$AD1271,$AG$4),INDEX($A$3:$AD$1271,0,$AG$6),"NON-COMPLIED")=1,1,0)))))</f>
        <v>0</v>
      </c>
    </row>
    <row r="1272" customFormat="false" ht="15" hidden="false" customHeight="false" outlineLevel="0" collapsed="false">
      <c r="AH1272" s="21" t="n">
        <f aca="false">IF($AG$4=0,0,IF($AG$6=0,0,IF(INDEX($A1272:$AD1272,$AG$4)="",0,IF(INDEX($A1272:$AD1272,$AG$6)&lt;&gt;"NON-COMPLIED",0,IF(COUNTIFS(INDEX($A$3:$AD$1272,0,$AG$4),INDEX($A1272:$AD1272,$AG$4),INDEX($A$3:$AD$1272,0,$AG$6),"NON-COMPLIED")=1,1,0)))))</f>
        <v>0</v>
      </c>
    </row>
    <row r="1273" customFormat="false" ht="15" hidden="false" customHeight="false" outlineLevel="0" collapsed="false">
      <c r="AH1273" s="21" t="n">
        <f aca="false">IF($AG$4=0,0,IF($AG$6=0,0,IF(INDEX($A1273:$AD1273,$AG$4)="",0,IF(INDEX($A1273:$AD1273,$AG$6)&lt;&gt;"NON-COMPLIED",0,IF(COUNTIFS(INDEX($A$3:$AD$1273,0,$AG$4),INDEX($A1273:$AD1273,$AG$4),INDEX($A$3:$AD$1273,0,$AG$6),"NON-COMPLIED")=1,1,0)))))</f>
        <v>0</v>
      </c>
    </row>
    <row r="1274" customFormat="false" ht="15" hidden="false" customHeight="false" outlineLevel="0" collapsed="false">
      <c r="AH1274" s="21" t="n">
        <f aca="false">IF($AG$4=0,0,IF($AG$6=0,0,IF(INDEX($A1274:$AD1274,$AG$4)="",0,IF(INDEX($A1274:$AD1274,$AG$6)&lt;&gt;"NON-COMPLIED",0,IF(COUNTIFS(INDEX($A$3:$AD$1274,0,$AG$4),INDEX($A1274:$AD1274,$AG$4),INDEX($A$3:$AD$1274,0,$AG$6),"NON-COMPLIED")=1,1,0)))))</f>
        <v>0</v>
      </c>
    </row>
    <row r="1275" customFormat="false" ht="15" hidden="false" customHeight="false" outlineLevel="0" collapsed="false">
      <c r="AH1275" s="21" t="n">
        <f aca="false">IF($AG$4=0,0,IF($AG$6=0,0,IF(INDEX($A1275:$AD1275,$AG$4)="",0,IF(INDEX($A1275:$AD1275,$AG$6)&lt;&gt;"NON-COMPLIED",0,IF(COUNTIFS(INDEX($A$3:$AD$1275,0,$AG$4),INDEX($A1275:$AD1275,$AG$4),INDEX($A$3:$AD$1275,0,$AG$6),"NON-COMPLIED")=1,1,0)))))</f>
        <v>0</v>
      </c>
    </row>
    <row r="1276" customFormat="false" ht="15" hidden="false" customHeight="false" outlineLevel="0" collapsed="false">
      <c r="AH1276" s="21" t="n">
        <f aca="false">IF($AG$4=0,0,IF($AG$6=0,0,IF(INDEX($A1276:$AD1276,$AG$4)="",0,IF(INDEX($A1276:$AD1276,$AG$6)&lt;&gt;"NON-COMPLIED",0,IF(COUNTIFS(INDEX($A$3:$AD$1276,0,$AG$4),INDEX($A1276:$AD1276,$AG$4),INDEX($A$3:$AD$1276,0,$AG$6),"NON-COMPLIED")=1,1,0)))))</f>
        <v>0</v>
      </c>
    </row>
    <row r="1277" customFormat="false" ht="15" hidden="false" customHeight="false" outlineLevel="0" collapsed="false">
      <c r="AH1277" s="21" t="n">
        <f aca="false">IF($AG$4=0,0,IF($AG$6=0,0,IF(INDEX($A1277:$AD1277,$AG$4)="",0,IF(INDEX($A1277:$AD1277,$AG$6)&lt;&gt;"NON-COMPLIED",0,IF(COUNTIFS(INDEX($A$3:$AD$1277,0,$AG$4),INDEX($A1277:$AD1277,$AG$4),INDEX($A$3:$AD$1277,0,$AG$6),"NON-COMPLIED")=1,1,0)))))</f>
        <v>0</v>
      </c>
    </row>
    <row r="1278" customFormat="false" ht="15" hidden="false" customHeight="false" outlineLevel="0" collapsed="false">
      <c r="AH1278" s="21" t="n">
        <f aca="false">IF($AG$4=0,0,IF($AG$6=0,0,IF(INDEX($A1278:$AD1278,$AG$4)="",0,IF(INDEX($A1278:$AD1278,$AG$6)&lt;&gt;"NON-COMPLIED",0,IF(COUNTIFS(INDEX($A$3:$AD$1278,0,$AG$4),INDEX($A1278:$AD1278,$AG$4),INDEX($A$3:$AD$1278,0,$AG$6),"NON-COMPLIED")=1,1,0)))))</f>
        <v>0</v>
      </c>
    </row>
    <row r="1279" customFormat="false" ht="15" hidden="false" customHeight="false" outlineLevel="0" collapsed="false">
      <c r="AH1279" s="21" t="n">
        <f aca="false">IF($AG$4=0,0,IF($AG$6=0,0,IF(INDEX($A1279:$AD1279,$AG$4)="",0,IF(INDEX($A1279:$AD1279,$AG$6)&lt;&gt;"NON-COMPLIED",0,IF(COUNTIFS(INDEX($A$3:$AD$1279,0,$AG$4),INDEX($A1279:$AD1279,$AG$4),INDEX($A$3:$AD$1279,0,$AG$6),"NON-COMPLIED")=1,1,0)))))</f>
        <v>0</v>
      </c>
    </row>
    <row r="1280" customFormat="false" ht="15" hidden="false" customHeight="false" outlineLevel="0" collapsed="false">
      <c r="AH1280" s="21" t="n">
        <f aca="false">IF($AG$4=0,0,IF($AG$6=0,0,IF(INDEX($A1280:$AD1280,$AG$4)="",0,IF(INDEX($A1280:$AD1280,$AG$6)&lt;&gt;"NON-COMPLIED",0,IF(COUNTIFS(INDEX($A$3:$AD$1280,0,$AG$4),INDEX($A1280:$AD1280,$AG$4),INDEX($A$3:$AD$1280,0,$AG$6),"NON-COMPLIED")=1,1,0)))))</f>
        <v>0</v>
      </c>
    </row>
    <row r="1281" customFormat="false" ht="15" hidden="false" customHeight="false" outlineLevel="0" collapsed="false">
      <c r="AH1281" s="21" t="n">
        <f aca="false">IF($AG$4=0,0,IF($AG$6=0,0,IF(INDEX($A1281:$AD1281,$AG$4)="",0,IF(INDEX($A1281:$AD1281,$AG$6)&lt;&gt;"NON-COMPLIED",0,IF(COUNTIFS(INDEX($A$3:$AD$1281,0,$AG$4),INDEX($A1281:$AD1281,$AG$4),INDEX($A$3:$AD$1281,0,$AG$6),"NON-COMPLIED")=1,1,0)))))</f>
        <v>0</v>
      </c>
    </row>
    <row r="1282" customFormat="false" ht="15" hidden="false" customHeight="false" outlineLevel="0" collapsed="false">
      <c r="AH1282" s="21" t="n">
        <f aca="false">IF($AG$4=0,0,IF($AG$6=0,0,IF(INDEX($A1282:$AD1282,$AG$4)="",0,IF(INDEX($A1282:$AD1282,$AG$6)&lt;&gt;"NON-COMPLIED",0,IF(COUNTIFS(INDEX($A$3:$AD$1282,0,$AG$4),INDEX($A1282:$AD1282,$AG$4),INDEX($A$3:$AD$1282,0,$AG$6),"NON-COMPLIED")=1,1,0)))))</f>
        <v>0</v>
      </c>
    </row>
    <row r="1283" customFormat="false" ht="15" hidden="false" customHeight="false" outlineLevel="0" collapsed="false">
      <c r="AH1283" s="21" t="n">
        <f aca="false">IF($AG$4=0,0,IF($AG$6=0,0,IF(INDEX($A1283:$AD1283,$AG$4)="",0,IF(INDEX($A1283:$AD1283,$AG$6)&lt;&gt;"NON-COMPLIED",0,IF(COUNTIFS(INDEX($A$3:$AD$1283,0,$AG$4),INDEX($A1283:$AD1283,$AG$4),INDEX($A$3:$AD$1283,0,$AG$6),"NON-COMPLIED")=1,1,0)))))</f>
        <v>0</v>
      </c>
    </row>
    <row r="1284" customFormat="false" ht="15" hidden="false" customHeight="false" outlineLevel="0" collapsed="false">
      <c r="AH1284" s="21" t="n">
        <f aca="false">IF($AG$4=0,0,IF($AG$6=0,0,IF(INDEX($A1284:$AD1284,$AG$4)="",0,IF(INDEX($A1284:$AD1284,$AG$6)&lt;&gt;"NON-COMPLIED",0,IF(COUNTIFS(INDEX($A$3:$AD$1284,0,$AG$4),INDEX($A1284:$AD1284,$AG$4),INDEX($A$3:$AD$1284,0,$AG$6),"NON-COMPLIED")=1,1,0)))))</f>
        <v>0</v>
      </c>
    </row>
    <row r="1285" customFormat="false" ht="15" hidden="false" customHeight="false" outlineLevel="0" collapsed="false">
      <c r="AH1285" s="21" t="n">
        <f aca="false">IF($AG$4=0,0,IF($AG$6=0,0,IF(INDEX($A1285:$AD1285,$AG$4)="",0,IF(INDEX($A1285:$AD1285,$AG$6)&lt;&gt;"NON-COMPLIED",0,IF(COUNTIFS(INDEX($A$3:$AD$1285,0,$AG$4),INDEX($A1285:$AD1285,$AG$4),INDEX($A$3:$AD$1285,0,$AG$6),"NON-COMPLIED")=1,1,0)))))</f>
        <v>0</v>
      </c>
    </row>
    <row r="1286" customFormat="false" ht="15" hidden="false" customHeight="false" outlineLevel="0" collapsed="false">
      <c r="AH1286" s="21" t="n">
        <f aca="false">IF($AG$4=0,0,IF($AG$6=0,0,IF(INDEX($A1286:$AD1286,$AG$4)="",0,IF(INDEX($A1286:$AD1286,$AG$6)&lt;&gt;"NON-COMPLIED",0,IF(COUNTIFS(INDEX($A$3:$AD$1286,0,$AG$4),INDEX($A1286:$AD1286,$AG$4),INDEX($A$3:$AD$1286,0,$AG$6),"NON-COMPLIED")=1,1,0)))))</f>
        <v>0</v>
      </c>
    </row>
    <row r="1287" customFormat="false" ht="15" hidden="false" customHeight="false" outlineLevel="0" collapsed="false">
      <c r="AH1287" s="21" t="n">
        <f aca="false">IF($AG$4=0,0,IF($AG$6=0,0,IF(INDEX($A1287:$AD1287,$AG$4)="",0,IF(INDEX($A1287:$AD1287,$AG$6)&lt;&gt;"NON-COMPLIED",0,IF(COUNTIFS(INDEX($A$3:$AD$1287,0,$AG$4),INDEX($A1287:$AD1287,$AG$4),INDEX($A$3:$AD$1287,0,$AG$6),"NON-COMPLIED")=1,1,0)))))</f>
        <v>0</v>
      </c>
    </row>
    <row r="1288" customFormat="false" ht="15" hidden="false" customHeight="false" outlineLevel="0" collapsed="false">
      <c r="AH1288" s="21" t="n">
        <f aca="false">IF($AG$4=0,0,IF($AG$6=0,0,IF(INDEX($A1288:$AD1288,$AG$4)="",0,IF(INDEX($A1288:$AD1288,$AG$6)&lt;&gt;"NON-COMPLIED",0,IF(COUNTIFS(INDEX($A$3:$AD$1288,0,$AG$4),INDEX($A1288:$AD1288,$AG$4),INDEX($A$3:$AD$1288,0,$AG$6),"NON-COMPLIED")=1,1,0)))))</f>
        <v>0</v>
      </c>
    </row>
    <row r="1289" customFormat="false" ht="15" hidden="false" customHeight="false" outlineLevel="0" collapsed="false">
      <c r="AH1289" s="21" t="n">
        <f aca="false">IF($AG$4=0,0,IF($AG$6=0,0,IF(INDEX($A1289:$AD1289,$AG$4)="",0,IF(INDEX($A1289:$AD1289,$AG$6)&lt;&gt;"NON-COMPLIED",0,IF(COUNTIFS(INDEX($A$3:$AD$1289,0,$AG$4),INDEX($A1289:$AD1289,$AG$4),INDEX($A$3:$AD$1289,0,$AG$6),"NON-COMPLIED")=1,1,0)))))</f>
        <v>0</v>
      </c>
    </row>
    <row r="1290" customFormat="false" ht="15" hidden="false" customHeight="false" outlineLevel="0" collapsed="false">
      <c r="AH1290" s="21" t="n">
        <f aca="false">IF($AG$4=0,0,IF($AG$6=0,0,IF(INDEX($A1290:$AD1290,$AG$4)="",0,IF(INDEX($A1290:$AD1290,$AG$6)&lt;&gt;"NON-COMPLIED",0,IF(COUNTIFS(INDEX($A$3:$AD$1290,0,$AG$4),INDEX($A1290:$AD1290,$AG$4),INDEX($A$3:$AD$1290,0,$AG$6),"NON-COMPLIED")=1,1,0)))))</f>
        <v>0</v>
      </c>
    </row>
    <row r="1291" customFormat="false" ht="15" hidden="false" customHeight="false" outlineLevel="0" collapsed="false">
      <c r="AH1291" s="21" t="n">
        <f aca="false">IF($AG$4=0,0,IF($AG$6=0,0,IF(INDEX($A1291:$AD1291,$AG$4)="",0,IF(INDEX($A1291:$AD1291,$AG$6)&lt;&gt;"NON-COMPLIED",0,IF(COUNTIFS(INDEX($A$3:$AD$1291,0,$AG$4),INDEX($A1291:$AD1291,$AG$4),INDEX($A$3:$AD$1291,0,$AG$6),"NON-COMPLIED")=1,1,0)))))</f>
        <v>0</v>
      </c>
    </row>
    <row r="1292" customFormat="false" ht="15" hidden="false" customHeight="false" outlineLevel="0" collapsed="false">
      <c r="AH1292" s="21" t="n">
        <f aca="false">IF($AG$4=0,0,IF($AG$6=0,0,IF(INDEX($A1292:$AD1292,$AG$4)="",0,IF(INDEX($A1292:$AD1292,$AG$6)&lt;&gt;"NON-COMPLIED",0,IF(COUNTIFS(INDEX($A$3:$AD$1292,0,$AG$4),INDEX($A1292:$AD1292,$AG$4),INDEX($A$3:$AD$1292,0,$AG$6),"NON-COMPLIED")=1,1,0)))))</f>
        <v>0</v>
      </c>
    </row>
    <row r="1293" customFormat="false" ht="15" hidden="false" customHeight="false" outlineLevel="0" collapsed="false">
      <c r="AH1293" s="21" t="n">
        <f aca="false">IF($AG$4=0,0,IF($AG$6=0,0,IF(INDEX($A1293:$AD1293,$AG$4)="",0,IF(INDEX($A1293:$AD1293,$AG$6)&lt;&gt;"NON-COMPLIED",0,IF(COUNTIFS(INDEX($A$3:$AD$1293,0,$AG$4),INDEX($A1293:$AD1293,$AG$4),INDEX($A$3:$AD$1293,0,$AG$6),"NON-COMPLIED")=1,1,0)))))</f>
        <v>0</v>
      </c>
    </row>
    <row r="1294" customFormat="false" ht="15" hidden="false" customHeight="false" outlineLevel="0" collapsed="false">
      <c r="AH1294" s="21" t="n">
        <f aca="false">IF($AG$4=0,0,IF($AG$6=0,0,IF(INDEX($A1294:$AD1294,$AG$4)="",0,IF(INDEX($A1294:$AD1294,$AG$6)&lt;&gt;"NON-COMPLIED",0,IF(COUNTIFS(INDEX($A$3:$AD$1294,0,$AG$4),INDEX($A1294:$AD1294,$AG$4),INDEX($A$3:$AD$1294,0,$AG$6),"NON-COMPLIED")=1,1,0)))))</f>
        <v>0</v>
      </c>
    </row>
    <row r="1295" customFormat="false" ht="15" hidden="false" customHeight="false" outlineLevel="0" collapsed="false">
      <c r="AH1295" s="21" t="n">
        <f aca="false">IF($AG$4=0,0,IF($AG$6=0,0,IF(INDEX($A1295:$AD1295,$AG$4)="",0,IF(INDEX($A1295:$AD1295,$AG$6)&lt;&gt;"NON-COMPLIED",0,IF(COUNTIFS(INDEX($A$3:$AD$1295,0,$AG$4),INDEX($A1295:$AD1295,$AG$4),INDEX($A$3:$AD$1295,0,$AG$6),"NON-COMPLIED")=1,1,0)))))</f>
        <v>0</v>
      </c>
    </row>
    <row r="1296" customFormat="false" ht="15" hidden="false" customHeight="false" outlineLevel="0" collapsed="false">
      <c r="AH1296" s="21" t="n">
        <f aca="false">IF($AG$4=0,0,IF($AG$6=0,0,IF(INDEX($A1296:$AD1296,$AG$4)="",0,IF(INDEX($A1296:$AD1296,$AG$6)&lt;&gt;"NON-COMPLIED",0,IF(COUNTIFS(INDEX($A$3:$AD$1296,0,$AG$4),INDEX($A1296:$AD1296,$AG$4),INDEX($A$3:$AD$1296,0,$AG$6),"NON-COMPLIED")=1,1,0)))))</f>
        <v>0</v>
      </c>
    </row>
    <row r="1297" customFormat="false" ht="15" hidden="false" customHeight="false" outlineLevel="0" collapsed="false">
      <c r="AH1297" s="21" t="n">
        <f aca="false">IF($AG$4=0,0,IF($AG$6=0,0,IF(INDEX($A1297:$AD1297,$AG$4)="",0,IF(INDEX($A1297:$AD1297,$AG$6)&lt;&gt;"NON-COMPLIED",0,IF(COUNTIFS(INDEX($A$3:$AD$1297,0,$AG$4),INDEX($A1297:$AD1297,$AG$4),INDEX($A$3:$AD$1297,0,$AG$6),"NON-COMPLIED")=1,1,0)))))</f>
        <v>0</v>
      </c>
    </row>
    <row r="1298" customFormat="false" ht="15" hidden="false" customHeight="false" outlineLevel="0" collapsed="false">
      <c r="AH1298" s="21" t="n">
        <f aca="false">IF($AG$4=0,0,IF($AG$6=0,0,IF(INDEX($A1298:$AD1298,$AG$4)="",0,IF(INDEX($A1298:$AD1298,$AG$6)&lt;&gt;"NON-COMPLIED",0,IF(COUNTIFS(INDEX($A$3:$AD$1298,0,$AG$4),INDEX($A1298:$AD1298,$AG$4),INDEX($A$3:$AD$1298,0,$AG$6),"NON-COMPLIED")=1,1,0)))))</f>
        <v>0</v>
      </c>
    </row>
    <row r="1299" customFormat="false" ht="15" hidden="false" customHeight="false" outlineLevel="0" collapsed="false">
      <c r="AH1299" s="21" t="n">
        <f aca="false">IF($AG$4=0,0,IF($AG$6=0,0,IF(INDEX($A1299:$AD1299,$AG$4)="",0,IF(INDEX($A1299:$AD1299,$AG$6)&lt;&gt;"NON-COMPLIED",0,IF(COUNTIFS(INDEX($A$3:$AD$1299,0,$AG$4),INDEX($A1299:$AD1299,$AG$4),INDEX($A$3:$AD$1299,0,$AG$6),"NON-COMPLIED")=1,1,0)))))</f>
        <v>0</v>
      </c>
    </row>
    <row r="1300" customFormat="false" ht="15" hidden="false" customHeight="false" outlineLevel="0" collapsed="false">
      <c r="AH1300" s="21" t="n">
        <f aca="false">IF($AG$4=0,0,IF($AG$6=0,0,IF(INDEX($A1300:$AD1300,$AG$4)="",0,IF(INDEX($A1300:$AD1300,$AG$6)&lt;&gt;"NON-COMPLIED",0,IF(COUNTIFS(INDEX($A$3:$AD$1300,0,$AG$4),INDEX($A1300:$AD1300,$AG$4),INDEX($A$3:$AD$1300,0,$AG$6),"NON-COMPLIED")=1,1,0)))))</f>
        <v>0</v>
      </c>
    </row>
    <row r="1301" customFormat="false" ht="15" hidden="false" customHeight="false" outlineLevel="0" collapsed="false">
      <c r="AH1301" s="21" t="n">
        <f aca="false">IF($AG$4=0,0,IF($AG$6=0,0,IF(INDEX($A1301:$AD1301,$AG$4)="",0,IF(INDEX($A1301:$AD1301,$AG$6)&lt;&gt;"NON-COMPLIED",0,IF(COUNTIFS(INDEX($A$3:$AD$1301,0,$AG$4),INDEX($A1301:$AD1301,$AG$4),INDEX($A$3:$AD$1301,0,$AG$6),"NON-COMPLIED")=1,1,0)))))</f>
        <v>0</v>
      </c>
    </row>
    <row r="1302" customFormat="false" ht="15" hidden="false" customHeight="false" outlineLevel="0" collapsed="false">
      <c r="AH1302" s="21" t="n">
        <f aca="false">IF($AG$4=0,0,IF($AG$6=0,0,IF(INDEX($A1302:$AD1302,$AG$4)="",0,IF(INDEX($A1302:$AD1302,$AG$6)&lt;&gt;"NON-COMPLIED",0,IF(COUNTIFS(INDEX($A$3:$AD$1302,0,$AG$4),INDEX($A1302:$AD1302,$AG$4),INDEX($A$3:$AD$1302,0,$AG$6),"NON-COMPLIED")=1,1,0)))))</f>
        <v>0</v>
      </c>
    </row>
    <row r="1303" customFormat="false" ht="15" hidden="false" customHeight="false" outlineLevel="0" collapsed="false">
      <c r="AH1303" s="21" t="n">
        <f aca="false">IF($AG$4=0,0,IF($AG$6=0,0,IF(INDEX($A1303:$AD1303,$AG$4)="",0,IF(INDEX($A1303:$AD1303,$AG$6)&lt;&gt;"NON-COMPLIED",0,IF(COUNTIFS(INDEX($A$3:$AD$1303,0,$AG$4),INDEX($A1303:$AD1303,$AG$4),INDEX($A$3:$AD$1303,0,$AG$6),"NON-COMPLIED")=1,1,0)))))</f>
        <v>0</v>
      </c>
    </row>
    <row r="1304" customFormat="false" ht="15" hidden="false" customHeight="false" outlineLevel="0" collapsed="false">
      <c r="AH1304" s="21" t="n">
        <f aca="false">IF($AG$4=0,0,IF($AG$6=0,0,IF(INDEX($A1304:$AD1304,$AG$4)="",0,IF(INDEX($A1304:$AD1304,$AG$6)&lt;&gt;"NON-COMPLIED",0,IF(COUNTIFS(INDEX($A$3:$AD$1304,0,$AG$4),INDEX($A1304:$AD1304,$AG$4),INDEX($A$3:$AD$1304,0,$AG$6),"NON-COMPLIED")=1,1,0)))))</f>
        <v>0</v>
      </c>
    </row>
    <row r="1305" customFormat="false" ht="15" hidden="false" customHeight="false" outlineLevel="0" collapsed="false">
      <c r="AH1305" s="21" t="n">
        <f aca="false">IF($AG$4=0,0,IF($AG$6=0,0,IF(INDEX($A1305:$AD1305,$AG$4)="",0,IF(INDEX($A1305:$AD1305,$AG$6)&lt;&gt;"NON-COMPLIED",0,IF(COUNTIFS(INDEX($A$3:$AD$1305,0,$AG$4),INDEX($A1305:$AD1305,$AG$4),INDEX($A$3:$AD$1305,0,$AG$6),"NON-COMPLIED")=1,1,0)))))</f>
        <v>0</v>
      </c>
    </row>
    <row r="1306" customFormat="false" ht="15" hidden="false" customHeight="false" outlineLevel="0" collapsed="false">
      <c r="AH1306" s="21" t="n">
        <f aca="false">IF($AG$4=0,0,IF($AG$6=0,0,IF(INDEX($A1306:$AD1306,$AG$4)="",0,IF(INDEX($A1306:$AD1306,$AG$6)&lt;&gt;"NON-COMPLIED",0,IF(COUNTIFS(INDEX($A$3:$AD$1306,0,$AG$4),INDEX($A1306:$AD1306,$AG$4),INDEX($A$3:$AD$1306,0,$AG$6),"NON-COMPLIED")=1,1,0)))))</f>
        <v>0</v>
      </c>
    </row>
    <row r="1307" customFormat="false" ht="15" hidden="false" customHeight="false" outlineLevel="0" collapsed="false">
      <c r="AH1307" s="21" t="n">
        <f aca="false">IF($AG$4=0,0,IF($AG$6=0,0,IF(INDEX($A1307:$AD1307,$AG$4)="",0,IF(INDEX($A1307:$AD1307,$AG$6)&lt;&gt;"NON-COMPLIED",0,IF(COUNTIFS(INDEX($A$3:$AD$1307,0,$AG$4),INDEX($A1307:$AD1307,$AG$4),INDEX($A$3:$AD$1307,0,$AG$6),"NON-COMPLIED")=1,1,0)))))</f>
        <v>0</v>
      </c>
    </row>
    <row r="1308" customFormat="false" ht="15" hidden="false" customHeight="false" outlineLevel="0" collapsed="false">
      <c r="AH1308" s="21" t="n">
        <f aca="false">IF($AG$4=0,0,IF($AG$6=0,0,IF(INDEX($A1308:$AD1308,$AG$4)="",0,IF(INDEX($A1308:$AD1308,$AG$6)&lt;&gt;"NON-COMPLIED",0,IF(COUNTIFS(INDEX($A$3:$AD$1308,0,$AG$4),INDEX($A1308:$AD1308,$AG$4),INDEX($A$3:$AD$1308,0,$AG$6),"NON-COMPLIED")=1,1,0)))))</f>
        <v>0</v>
      </c>
    </row>
    <row r="1309" customFormat="false" ht="15" hidden="false" customHeight="false" outlineLevel="0" collapsed="false">
      <c r="AH1309" s="21" t="n">
        <f aca="false">IF($AG$4=0,0,IF($AG$6=0,0,IF(INDEX($A1309:$AD1309,$AG$4)="",0,IF(INDEX($A1309:$AD1309,$AG$6)&lt;&gt;"NON-COMPLIED",0,IF(COUNTIFS(INDEX($A$3:$AD$1309,0,$AG$4),INDEX($A1309:$AD1309,$AG$4),INDEX($A$3:$AD$1309,0,$AG$6),"NON-COMPLIED")=1,1,0)))))</f>
        <v>0</v>
      </c>
    </row>
    <row r="1310" customFormat="false" ht="15" hidden="false" customHeight="false" outlineLevel="0" collapsed="false">
      <c r="AH1310" s="21" t="n">
        <f aca="false">IF($AG$4=0,0,IF($AG$6=0,0,IF(INDEX($A1310:$AD1310,$AG$4)="",0,IF(INDEX($A1310:$AD1310,$AG$6)&lt;&gt;"NON-COMPLIED",0,IF(COUNTIFS(INDEX($A$3:$AD$1310,0,$AG$4),INDEX($A1310:$AD1310,$AG$4),INDEX($A$3:$AD$1310,0,$AG$6),"NON-COMPLIED")=1,1,0)))))</f>
        <v>0</v>
      </c>
    </row>
    <row r="1311" customFormat="false" ht="15" hidden="false" customHeight="false" outlineLevel="0" collapsed="false">
      <c r="AH1311" s="21" t="n">
        <f aca="false">IF($AG$4=0,0,IF($AG$6=0,0,IF(INDEX($A1311:$AD1311,$AG$4)="",0,IF(INDEX($A1311:$AD1311,$AG$6)&lt;&gt;"NON-COMPLIED",0,IF(COUNTIFS(INDEX($A$3:$AD$1311,0,$AG$4),INDEX($A1311:$AD1311,$AG$4),INDEX($A$3:$AD$1311,0,$AG$6),"NON-COMPLIED")=1,1,0)))))</f>
        <v>0</v>
      </c>
    </row>
    <row r="1312" customFormat="false" ht="15" hidden="false" customHeight="false" outlineLevel="0" collapsed="false">
      <c r="AH1312" s="21" t="n">
        <f aca="false">IF($AG$4=0,0,IF($AG$6=0,0,IF(INDEX($A1312:$AD1312,$AG$4)="",0,IF(INDEX($A1312:$AD1312,$AG$6)&lt;&gt;"NON-COMPLIED",0,IF(COUNTIFS(INDEX($A$3:$AD$1312,0,$AG$4),INDEX($A1312:$AD1312,$AG$4),INDEX($A$3:$AD$1312,0,$AG$6),"NON-COMPLIED")=1,1,0)))))</f>
        <v>0</v>
      </c>
    </row>
    <row r="1313" customFormat="false" ht="15" hidden="false" customHeight="false" outlineLevel="0" collapsed="false">
      <c r="AH1313" s="21" t="n">
        <f aca="false">IF($AG$4=0,0,IF($AG$6=0,0,IF(INDEX($A1313:$AD1313,$AG$4)="",0,IF(INDEX($A1313:$AD1313,$AG$6)&lt;&gt;"NON-COMPLIED",0,IF(COUNTIFS(INDEX($A$3:$AD$1313,0,$AG$4),INDEX($A1313:$AD1313,$AG$4),INDEX($A$3:$AD$1313,0,$AG$6),"NON-COMPLIED")=1,1,0)))))</f>
        <v>0</v>
      </c>
    </row>
    <row r="1314" customFormat="false" ht="15" hidden="false" customHeight="false" outlineLevel="0" collapsed="false">
      <c r="AH1314" s="21" t="n">
        <f aca="false">IF($AG$4=0,0,IF($AG$6=0,0,IF(INDEX($A1314:$AD1314,$AG$4)="",0,IF(INDEX($A1314:$AD1314,$AG$6)&lt;&gt;"NON-COMPLIED",0,IF(COUNTIFS(INDEX($A$3:$AD$1314,0,$AG$4),INDEX($A1314:$AD1314,$AG$4),INDEX($A$3:$AD$1314,0,$AG$6),"NON-COMPLIED")=1,1,0)))))</f>
        <v>0</v>
      </c>
    </row>
    <row r="1315" customFormat="false" ht="15" hidden="false" customHeight="false" outlineLevel="0" collapsed="false">
      <c r="AH1315" s="21" t="n">
        <f aca="false">IF($AG$4=0,0,IF($AG$6=0,0,IF(INDEX($A1315:$AD1315,$AG$4)="",0,IF(INDEX($A1315:$AD1315,$AG$6)&lt;&gt;"NON-COMPLIED",0,IF(COUNTIFS(INDEX($A$3:$AD$1315,0,$AG$4),INDEX($A1315:$AD1315,$AG$4),INDEX($A$3:$AD$1315,0,$AG$6),"NON-COMPLIED")=1,1,0)))))</f>
        <v>0</v>
      </c>
    </row>
    <row r="1316" customFormat="false" ht="15" hidden="false" customHeight="false" outlineLevel="0" collapsed="false">
      <c r="AH1316" s="21" t="n">
        <f aca="false">IF($AG$4=0,0,IF($AG$6=0,0,IF(INDEX($A1316:$AD1316,$AG$4)="",0,IF(INDEX($A1316:$AD1316,$AG$6)&lt;&gt;"NON-COMPLIED",0,IF(COUNTIFS(INDEX($A$3:$AD$1316,0,$AG$4),INDEX($A1316:$AD1316,$AG$4),INDEX($A$3:$AD$1316,0,$AG$6),"NON-COMPLIED")=1,1,0)))))</f>
        <v>0</v>
      </c>
    </row>
    <row r="1317" customFormat="false" ht="15" hidden="false" customHeight="false" outlineLevel="0" collapsed="false">
      <c r="AH1317" s="21" t="n">
        <f aca="false">IF($AG$4=0,0,IF($AG$6=0,0,IF(INDEX($A1317:$AD1317,$AG$4)="",0,IF(INDEX($A1317:$AD1317,$AG$6)&lt;&gt;"NON-COMPLIED",0,IF(COUNTIFS(INDEX($A$3:$AD$1317,0,$AG$4),INDEX($A1317:$AD1317,$AG$4),INDEX($A$3:$AD$1317,0,$AG$6),"NON-COMPLIED")=1,1,0)))))</f>
        <v>0</v>
      </c>
    </row>
    <row r="1318" customFormat="false" ht="15" hidden="false" customHeight="false" outlineLevel="0" collapsed="false">
      <c r="AH1318" s="21" t="n">
        <f aca="false">IF($AG$4=0,0,IF($AG$6=0,0,IF(INDEX($A1318:$AD1318,$AG$4)="",0,IF(INDEX($A1318:$AD1318,$AG$6)&lt;&gt;"NON-COMPLIED",0,IF(COUNTIFS(INDEX($A$3:$AD$1318,0,$AG$4),INDEX($A1318:$AD1318,$AG$4),INDEX($A$3:$AD$1318,0,$AG$6),"NON-COMPLIED")=1,1,0)))))</f>
        <v>0</v>
      </c>
    </row>
    <row r="1319" customFormat="false" ht="15" hidden="false" customHeight="false" outlineLevel="0" collapsed="false">
      <c r="AH1319" s="21" t="n">
        <f aca="false">IF($AG$4=0,0,IF($AG$6=0,0,IF(INDEX($A1319:$AD1319,$AG$4)="",0,IF(INDEX($A1319:$AD1319,$AG$6)&lt;&gt;"NON-COMPLIED",0,IF(COUNTIFS(INDEX($A$3:$AD$1319,0,$AG$4),INDEX($A1319:$AD1319,$AG$4),INDEX($A$3:$AD$1319,0,$AG$6),"NON-COMPLIED")=1,1,0)))))</f>
        <v>0</v>
      </c>
    </row>
    <row r="1320" customFormat="false" ht="15" hidden="false" customHeight="false" outlineLevel="0" collapsed="false">
      <c r="AH1320" s="21" t="n">
        <f aca="false">IF($AG$4=0,0,IF($AG$6=0,0,IF(INDEX($A1320:$AD1320,$AG$4)="",0,IF(INDEX($A1320:$AD1320,$AG$6)&lt;&gt;"NON-COMPLIED",0,IF(COUNTIFS(INDEX($A$3:$AD$1320,0,$AG$4),INDEX($A1320:$AD1320,$AG$4),INDEX($A$3:$AD$1320,0,$AG$6),"NON-COMPLIED")=1,1,0)))))</f>
        <v>0</v>
      </c>
    </row>
    <row r="1321" customFormat="false" ht="15" hidden="false" customHeight="false" outlineLevel="0" collapsed="false">
      <c r="AH1321" s="21" t="n">
        <f aca="false">IF($AG$4=0,0,IF($AG$6=0,0,IF(INDEX($A1321:$AD1321,$AG$4)="",0,IF(INDEX($A1321:$AD1321,$AG$6)&lt;&gt;"NON-COMPLIED",0,IF(COUNTIFS(INDEX($A$3:$AD$1321,0,$AG$4),INDEX($A1321:$AD1321,$AG$4),INDEX($A$3:$AD$1321,0,$AG$6),"NON-COMPLIED")=1,1,0)))))</f>
        <v>0</v>
      </c>
    </row>
    <row r="1322" customFormat="false" ht="15" hidden="false" customHeight="false" outlineLevel="0" collapsed="false">
      <c r="AH1322" s="21" t="n">
        <f aca="false">IF($AG$4=0,0,IF($AG$6=0,0,IF(INDEX($A1322:$AD1322,$AG$4)="",0,IF(INDEX($A1322:$AD1322,$AG$6)&lt;&gt;"NON-COMPLIED",0,IF(COUNTIFS(INDEX($A$3:$AD$1322,0,$AG$4),INDEX($A1322:$AD1322,$AG$4),INDEX($A$3:$AD$1322,0,$AG$6),"NON-COMPLIED")=1,1,0)))))</f>
        <v>0</v>
      </c>
    </row>
    <row r="1323" customFormat="false" ht="15" hidden="false" customHeight="false" outlineLevel="0" collapsed="false">
      <c r="AH1323" s="21" t="n">
        <f aca="false">IF($AG$4=0,0,IF($AG$6=0,0,IF(INDEX($A1323:$AD1323,$AG$4)="",0,IF(INDEX($A1323:$AD1323,$AG$6)&lt;&gt;"NON-COMPLIED",0,IF(COUNTIFS(INDEX($A$3:$AD$1323,0,$AG$4),INDEX($A1323:$AD1323,$AG$4),INDEX($A$3:$AD$1323,0,$AG$6),"NON-COMPLIED")=1,1,0)))))</f>
        <v>0</v>
      </c>
    </row>
    <row r="1324" customFormat="false" ht="15" hidden="false" customHeight="false" outlineLevel="0" collapsed="false">
      <c r="AH1324" s="21" t="n">
        <f aca="false">IF($AG$4=0,0,IF($AG$6=0,0,IF(INDEX($A1324:$AD1324,$AG$4)="",0,IF(INDEX($A1324:$AD1324,$AG$6)&lt;&gt;"NON-COMPLIED",0,IF(COUNTIFS(INDEX($A$3:$AD$1324,0,$AG$4),INDEX($A1324:$AD1324,$AG$4),INDEX($A$3:$AD$1324,0,$AG$6),"NON-COMPLIED")=1,1,0)))))</f>
        <v>0</v>
      </c>
    </row>
    <row r="1325" customFormat="false" ht="15" hidden="false" customHeight="false" outlineLevel="0" collapsed="false">
      <c r="AH1325" s="21" t="n">
        <f aca="false">IF($AG$4=0,0,IF($AG$6=0,0,IF(INDEX($A1325:$AD1325,$AG$4)="",0,IF(INDEX($A1325:$AD1325,$AG$6)&lt;&gt;"NON-COMPLIED",0,IF(COUNTIFS(INDEX($A$3:$AD$1325,0,$AG$4),INDEX($A1325:$AD1325,$AG$4),INDEX($A$3:$AD$1325,0,$AG$6),"NON-COMPLIED")=1,1,0)))))</f>
        <v>0</v>
      </c>
    </row>
    <row r="1326" customFormat="false" ht="15" hidden="false" customHeight="false" outlineLevel="0" collapsed="false">
      <c r="AH1326" s="21" t="n">
        <f aca="false">IF($AG$4=0,0,IF($AG$6=0,0,IF(INDEX($A1326:$AD1326,$AG$4)="",0,IF(INDEX($A1326:$AD1326,$AG$6)&lt;&gt;"NON-COMPLIED",0,IF(COUNTIFS(INDEX($A$3:$AD$1326,0,$AG$4),INDEX($A1326:$AD1326,$AG$4),INDEX($A$3:$AD$1326,0,$AG$6),"NON-COMPLIED")=1,1,0)))))</f>
        <v>0</v>
      </c>
    </row>
    <row r="1327" customFormat="false" ht="15" hidden="false" customHeight="false" outlineLevel="0" collapsed="false">
      <c r="AH1327" s="21" t="n">
        <f aca="false">IF($AG$4=0,0,IF($AG$6=0,0,IF(INDEX($A1327:$AD1327,$AG$4)="",0,IF(INDEX($A1327:$AD1327,$AG$6)&lt;&gt;"NON-COMPLIED",0,IF(COUNTIFS(INDEX($A$3:$AD$1327,0,$AG$4),INDEX($A1327:$AD1327,$AG$4),INDEX($A$3:$AD$1327,0,$AG$6),"NON-COMPLIED")=1,1,0)))))</f>
        <v>0</v>
      </c>
    </row>
    <row r="1328" customFormat="false" ht="15" hidden="false" customHeight="false" outlineLevel="0" collapsed="false">
      <c r="AH1328" s="21" t="n">
        <f aca="false">IF($AG$4=0,0,IF($AG$6=0,0,IF(INDEX($A1328:$AD1328,$AG$4)="",0,IF(INDEX($A1328:$AD1328,$AG$6)&lt;&gt;"NON-COMPLIED",0,IF(COUNTIFS(INDEX($A$3:$AD$1328,0,$AG$4),INDEX($A1328:$AD1328,$AG$4),INDEX($A$3:$AD$1328,0,$AG$6),"NON-COMPLIED")=1,1,0)))))</f>
        <v>0</v>
      </c>
    </row>
    <row r="1329" customFormat="false" ht="15" hidden="false" customHeight="false" outlineLevel="0" collapsed="false">
      <c r="AH1329" s="21" t="n">
        <f aca="false">IF($AG$4=0,0,IF($AG$6=0,0,IF(INDEX($A1329:$AD1329,$AG$4)="",0,IF(INDEX($A1329:$AD1329,$AG$6)&lt;&gt;"NON-COMPLIED",0,IF(COUNTIFS(INDEX($A$3:$AD$1329,0,$AG$4),INDEX($A1329:$AD1329,$AG$4),INDEX($A$3:$AD$1329,0,$AG$6),"NON-COMPLIED")=1,1,0)))))</f>
        <v>0</v>
      </c>
    </row>
    <row r="1330" customFormat="false" ht="15" hidden="false" customHeight="false" outlineLevel="0" collapsed="false">
      <c r="AH1330" s="21" t="n">
        <f aca="false">IF($AG$4=0,0,IF($AG$6=0,0,IF(INDEX($A1330:$AD1330,$AG$4)="",0,IF(INDEX($A1330:$AD1330,$AG$6)&lt;&gt;"NON-COMPLIED",0,IF(COUNTIFS(INDEX($A$3:$AD$1330,0,$AG$4),INDEX($A1330:$AD1330,$AG$4),INDEX($A$3:$AD$1330,0,$AG$6),"NON-COMPLIED")=1,1,0)))))</f>
        <v>0</v>
      </c>
    </row>
    <row r="1331" customFormat="false" ht="15" hidden="false" customHeight="false" outlineLevel="0" collapsed="false">
      <c r="AH1331" s="21" t="n">
        <f aca="false">IF($AG$4=0,0,IF($AG$6=0,0,IF(INDEX($A1331:$AD1331,$AG$4)="",0,IF(INDEX($A1331:$AD1331,$AG$6)&lt;&gt;"NON-COMPLIED",0,IF(COUNTIFS(INDEX($A$3:$AD$1331,0,$AG$4),INDEX($A1331:$AD1331,$AG$4),INDEX($A$3:$AD$1331,0,$AG$6),"NON-COMPLIED")=1,1,0)))))</f>
        <v>0</v>
      </c>
    </row>
    <row r="1332" customFormat="false" ht="15" hidden="false" customHeight="false" outlineLevel="0" collapsed="false">
      <c r="AH1332" s="21" t="n">
        <f aca="false">IF($AG$4=0,0,IF($AG$6=0,0,IF(INDEX($A1332:$AD1332,$AG$4)="",0,IF(INDEX($A1332:$AD1332,$AG$6)&lt;&gt;"NON-COMPLIED",0,IF(COUNTIFS(INDEX($A$3:$AD$1332,0,$AG$4),INDEX($A1332:$AD1332,$AG$4),INDEX($A$3:$AD$1332,0,$AG$6),"NON-COMPLIED")=1,1,0)))))</f>
        <v>0</v>
      </c>
    </row>
    <row r="1333" customFormat="false" ht="15" hidden="false" customHeight="false" outlineLevel="0" collapsed="false">
      <c r="AH1333" s="21" t="n">
        <f aca="false">IF($AG$4=0,0,IF($AG$6=0,0,IF(INDEX($A1333:$AD1333,$AG$4)="",0,IF(INDEX($A1333:$AD1333,$AG$6)&lt;&gt;"NON-COMPLIED",0,IF(COUNTIFS(INDEX($A$3:$AD$1333,0,$AG$4),INDEX($A1333:$AD1333,$AG$4),INDEX($A$3:$AD$1333,0,$AG$6),"NON-COMPLIED")=1,1,0)))))</f>
        <v>0</v>
      </c>
    </row>
    <row r="1334" customFormat="false" ht="15" hidden="false" customHeight="false" outlineLevel="0" collapsed="false">
      <c r="AH1334" s="21" t="n">
        <f aca="false">IF($AG$4=0,0,IF($AG$6=0,0,IF(INDEX($A1334:$AD1334,$AG$4)="",0,IF(INDEX($A1334:$AD1334,$AG$6)&lt;&gt;"NON-COMPLIED",0,IF(COUNTIFS(INDEX($A$3:$AD$1334,0,$AG$4),INDEX($A1334:$AD1334,$AG$4),INDEX($A$3:$AD$1334,0,$AG$6),"NON-COMPLIED")=1,1,0)))))</f>
        <v>0</v>
      </c>
    </row>
    <row r="1335" customFormat="false" ht="15" hidden="false" customHeight="false" outlineLevel="0" collapsed="false">
      <c r="AH1335" s="21" t="n">
        <f aca="false">IF($AG$4=0,0,IF($AG$6=0,0,IF(INDEX($A1335:$AD1335,$AG$4)="",0,IF(INDEX($A1335:$AD1335,$AG$6)&lt;&gt;"NON-COMPLIED",0,IF(COUNTIFS(INDEX($A$3:$AD$1335,0,$AG$4),INDEX($A1335:$AD1335,$AG$4),INDEX($A$3:$AD$1335,0,$AG$6),"NON-COMPLIED")=1,1,0)))))</f>
        <v>0</v>
      </c>
    </row>
    <row r="1336" customFormat="false" ht="15" hidden="false" customHeight="false" outlineLevel="0" collapsed="false">
      <c r="AH1336" s="21" t="n">
        <f aca="false">IF($AG$4=0,0,IF($AG$6=0,0,IF(INDEX($A1336:$AD1336,$AG$4)="",0,IF(INDEX($A1336:$AD1336,$AG$6)&lt;&gt;"NON-COMPLIED",0,IF(COUNTIFS(INDEX($A$3:$AD$1336,0,$AG$4),INDEX($A1336:$AD1336,$AG$4),INDEX($A$3:$AD$1336,0,$AG$6),"NON-COMPLIED")=1,1,0)))))</f>
        <v>0</v>
      </c>
    </row>
    <row r="1337" customFormat="false" ht="15" hidden="false" customHeight="false" outlineLevel="0" collapsed="false">
      <c r="AH1337" s="21" t="n">
        <f aca="false">IF($AG$4=0,0,IF($AG$6=0,0,IF(INDEX($A1337:$AD1337,$AG$4)="",0,IF(INDEX($A1337:$AD1337,$AG$6)&lt;&gt;"NON-COMPLIED",0,IF(COUNTIFS(INDEX($A$3:$AD$1337,0,$AG$4),INDEX($A1337:$AD1337,$AG$4),INDEX($A$3:$AD$1337,0,$AG$6),"NON-COMPLIED")=1,1,0)))))</f>
        <v>0</v>
      </c>
    </row>
    <row r="1338" customFormat="false" ht="15" hidden="false" customHeight="false" outlineLevel="0" collapsed="false">
      <c r="AH1338" s="21" t="n">
        <f aca="false">IF($AG$4=0,0,IF($AG$6=0,0,IF(INDEX($A1338:$AD1338,$AG$4)="",0,IF(INDEX($A1338:$AD1338,$AG$6)&lt;&gt;"NON-COMPLIED",0,IF(COUNTIFS(INDEX($A$3:$AD$1338,0,$AG$4),INDEX($A1338:$AD1338,$AG$4),INDEX($A$3:$AD$1338,0,$AG$6),"NON-COMPLIED")=1,1,0)))))</f>
        <v>0</v>
      </c>
    </row>
    <row r="1339" customFormat="false" ht="15" hidden="false" customHeight="false" outlineLevel="0" collapsed="false">
      <c r="AH1339" s="21" t="n">
        <f aca="false">IF($AG$4=0,0,IF($AG$6=0,0,IF(INDEX($A1339:$AD1339,$AG$4)="",0,IF(INDEX($A1339:$AD1339,$AG$6)&lt;&gt;"NON-COMPLIED",0,IF(COUNTIFS(INDEX($A$3:$AD$1339,0,$AG$4),INDEX($A1339:$AD1339,$AG$4),INDEX($A$3:$AD$1339,0,$AG$6),"NON-COMPLIED")=1,1,0)))))</f>
        <v>0</v>
      </c>
    </row>
    <row r="1340" customFormat="false" ht="15" hidden="false" customHeight="false" outlineLevel="0" collapsed="false">
      <c r="AH1340" s="21" t="n">
        <f aca="false">IF($AG$4=0,0,IF($AG$6=0,0,IF(INDEX($A1340:$AD1340,$AG$4)="",0,IF(INDEX($A1340:$AD1340,$AG$6)&lt;&gt;"NON-COMPLIED",0,IF(COUNTIFS(INDEX($A$3:$AD$1340,0,$AG$4),INDEX($A1340:$AD1340,$AG$4),INDEX($A$3:$AD$1340,0,$AG$6),"NON-COMPLIED")=1,1,0)))))</f>
        <v>0</v>
      </c>
    </row>
    <row r="1341" customFormat="false" ht="15" hidden="false" customHeight="false" outlineLevel="0" collapsed="false">
      <c r="AH1341" s="21" t="n">
        <f aca="false">IF($AG$4=0,0,IF($AG$6=0,0,IF(INDEX($A1341:$AD1341,$AG$4)="",0,IF(INDEX($A1341:$AD1341,$AG$6)&lt;&gt;"NON-COMPLIED",0,IF(COUNTIFS(INDEX($A$3:$AD$1341,0,$AG$4),INDEX($A1341:$AD1341,$AG$4),INDEX($A$3:$AD$1341,0,$AG$6),"NON-COMPLIED")=1,1,0)))))</f>
        <v>0</v>
      </c>
    </row>
    <row r="1342" customFormat="false" ht="15" hidden="false" customHeight="false" outlineLevel="0" collapsed="false">
      <c r="AH1342" s="21" t="n">
        <f aca="false">IF($AG$4=0,0,IF($AG$6=0,0,IF(INDEX($A1342:$AD1342,$AG$4)="",0,IF(INDEX($A1342:$AD1342,$AG$6)&lt;&gt;"NON-COMPLIED",0,IF(COUNTIFS(INDEX($A$3:$AD$1342,0,$AG$4),INDEX($A1342:$AD1342,$AG$4),INDEX($A$3:$AD$1342,0,$AG$6),"NON-COMPLIED")=1,1,0)))))</f>
        <v>0</v>
      </c>
    </row>
    <row r="1343" customFormat="false" ht="15" hidden="false" customHeight="false" outlineLevel="0" collapsed="false">
      <c r="AH1343" s="21" t="n">
        <f aca="false">IF($AG$4=0,0,IF($AG$6=0,0,IF(INDEX($A1343:$AD1343,$AG$4)="",0,IF(INDEX($A1343:$AD1343,$AG$6)&lt;&gt;"NON-COMPLIED",0,IF(COUNTIFS(INDEX($A$3:$AD$1343,0,$AG$4),INDEX($A1343:$AD1343,$AG$4),INDEX($A$3:$AD$1343,0,$AG$6),"NON-COMPLIED")=1,1,0)))))</f>
        <v>0</v>
      </c>
    </row>
    <row r="1344" customFormat="false" ht="15" hidden="false" customHeight="false" outlineLevel="0" collapsed="false">
      <c r="AH1344" s="21" t="n">
        <f aca="false">IF($AG$4=0,0,IF($AG$6=0,0,IF(INDEX($A1344:$AD1344,$AG$4)="",0,IF(INDEX($A1344:$AD1344,$AG$6)&lt;&gt;"NON-COMPLIED",0,IF(COUNTIFS(INDEX($A$3:$AD$1344,0,$AG$4),INDEX($A1344:$AD1344,$AG$4),INDEX($A$3:$AD$1344,0,$AG$6),"NON-COMPLIED")=1,1,0)))))</f>
        <v>0</v>
      </c>
    </row>
    <row r="1345" customFormat="false" ht="15" hidden="false" customHeight="false" outlineLevel="0" collapsed="false">
      <c r="AH1345" s="21" t="n">
        <f aca="false">IF($AG$4=0,0,IF($AG$6=0,0,IF(INDEX($A1345:$AD1345,$AG$4)="",0,IF(INDEX($A1345:$AD1345,$AG$6)&lt;&gt;"NON-COMPLIED",0,IF(COUNTIFS(INDEX($A$3:$AD$1345,0,$AG$4),INDEX($A1345:$AD1345,$AG$4),INDEX($A$3:$AD$1345,0,$AG$6),"NON-COMPLIED")=1,1,0)))))</f>
        <v>0</v>
      </c>
    </row>
    <row r="1346" customFormat="false" ht="15" hidden="false" customHeight="false" outlineLevel="0" collapsed="false">
      <c r="AH1346" s="21" t="n">
        <f aca="false">IF($AG$4=0,0,IF($AG$6=0,0,IF(INDEX($A1346:$AD1346,$AG$4)="",0,IF(INDEX($A1346:$AD1346,$AG$6)&lt;&gt;"NON-COMPLIED",0,IF(COUNTIFS(INDEX($A$3:$AD$1346,0,$AG$4),INDEX($A1346:$AD1346,$AG$4),INDEX($A$3:$AD$1346,0,$AG$6),"NON-COMPLIED")=1,1,0)))))</f>
        <v>0</v>
      </c>
    </row>
    <row r="1347" customFormat="false" ht="15" hidden="false" customHeight="false" outlineLevel="0" collapsed="false">
      <c r="AH1347" s="21" t="n">
        <f aca="false">IF($AG$4=0,0,IF($AG$6=0,0,IF(INDEX($A1347:$AD1347,$AG$4)="",0,IF(INDEX($A1347:$AD1347,$AG$6)&lt;&gt;"NON-COMPLIED",0,IF(COUNTIFS(INDEX($A$3:$AD$1347,0,$AG$4),INDEX($A1347:$AD1347,$AG$4),INDEX($A$3:$AD$1347,0,$AG$6),"NON-COMPLIED")=1,1,0)))))</f>
        <v>0</v>
      </c>
    </row>
    <row r="1348" customFormat="false" ht="15" hidden="false" customHeight="false" outlineLevel="0" collapsed="false">
      <c r="AH1348" s="21" t="n">
        <f aca="false">IF($AG$4=0,0,IF($AG$6=0,0,IF(INDEX($A1348:$AD1348,$AG$4)="",0,IF(INDEX($A1348:$AD1348,$AG$6)&lt;&gt;"NON-COMPLIED",0,IF(COUNTIFS(INDEX($A$3:$AD$1348,0,$AG$4),INDEX($A1348:$AD1348,$AG$4),INDEX($A$3:$AD$1348,0,$AG$6),"NON-COMPLIED")=1,1,0)))))</f>
        <v>0</v>
      </c>
    </row>
    <row r="1349" customFormat="false" ht="15" hidden="false" customHeight="false" outlineLevel="0" collapsed="false">
      <c r="AH1349" s="21" t="n">
        <f aca="false">IF($AG$4=0,0,IF($AG$6=0,0,IF(INDEX($A1349:$AD1349,$AG$4)="",0,IF(INDEX($A1349:$AD1349,$AG$6)&lt;&gt;"NON-COMPLIED",0,IF(COUNTIFS(INDEX($A$3:$AD$1349,0,$AG$4),INDEX($A1349:$AD1349,$AG$4),INDEX($A$3:$AD$1349,0,$AG$6),"NON-COMPLIED")=1,1,0)))))</f>
        <v>0</v>
      </c>
    </row>
    <row r="1350" customFormat="false" ht="15" hidden="false" customHeight="false" outlineLevel="0" collapsed="false">
      <c r="AH1350" s="21" t="n">
        <f aca="false">IF($AG$4=0,0,IF($AG$6=0,0,IF(INDEX($A1350:$AD1350,$AG$4)="",0,IF(INDEX($A1350:$AD1350,$AG$6)&lt;&gt;"NON-COMPLIED",0,IF(COUNTIFS(INDEX($A$3:$AD$1350,0,$AG$4),INDEX($A1350:$AD1350,$AG$4),INDEX($A$3:$AD$1350,0,$AG$6),"NON-COMPLIED")=1,1,0)))))</f>
        <v>0</v>
      </c>
    </row>
    <row r="1351" customFormat="false" ht="15" hidden="false" customHeight="false" outlineLevel="0" collapsed="false">
      <c r="AH1351" s="21" t="n">
        <f aca="false">IF($AG$4=0,0,IF($AG$6=0,0,IF(INDEX($A1351:$AD1351,$AG$4)="",0,IF(INDEX($A1351:$AD1351,$AG$6)&lt;&gt;"NON-COMPLIED",0,IF(COUNTIFS(INDEX($A$3:$AD$1351,0,$AG$4),INDEX($A1351:$AD1351,$AG$4),INDEX($A$3:$AD$1351,0,$AG$6),"NON-COMPLIED")=1,1,0)))))</f>
        <v>0</v>
      </c>
    </row>
    <row r="1352" customFormat="false" ht="15" hidden="false" customHeight="false" outlineLevel="0" collapsed="false">
      <c r="AH1352" s="21" t="n">
        <f aca="false">IF($AG$4=0,0,IF($AG$6=0,0,IF(INDEX($A1352:$AD1352,$AG$4)="",0,IF(INDEX($A1352:$AD1352,$AG$6)&lt;&gt;"NON-COMPLIED",0,IF(COUNTIFS(INDEX($A$3:$AD$1352,0,$AG$4),INDEX($A1352:$AD1352,$AG$4),INDEX($A$3:$AD$1352,0,$AG$6),"NON-COMPLIED")=1,1,0)))))</f>
        <v>0</v>
      </c>
    </row>
    <row r="1353" customFormat="false" ht="15" hidden="false" customHeight="false" outlineLevel="0" collapsed="false">
      <c r="AH1353" s="21" t="n">
        <f aca="false">IF($AG$4=0,0,IF($AG$6=0,0,IF(INDEX($A1353:$AD1353,$AG$4)="",0,IF(INDEX($A1353:$AD1353,$AG$6)&lt;&gt;"NON-COMPLIED",0,IF(COUNTIFS(INDEX($A$3:$AD$1353,0,$AG$4),INDEX($A1353:$AD1353,$AG$4),INDEX($A$3:$AD$1353,0,$AG$6),"NON-COMPLIED")=1,1,0)))))</f>
        <v>0</v>
      </c>
    </row>
    <row r="1354" customFormat="false" ht="15" hidden="false" customHeight="false" outlineLevel="0" collapsed="false">
      <c r="AH1354" s="21" t="n">
        <f aca="false">IF($AG$4=0,0,IF($AG$6=0,0,IF(INDEX($A1354:$AD1354,$AG$4)="",0,IF(INDEX($A1354:$AD1354,$AG$6)&lt;&gt;"NON-COMPLIED",0,IF(COUNTIFS(INDEX($A$3:$AD$1354,0,$AG$4),INDEX($A1354:$AD1354,$AG$4),INDEX($A$3:$AD$1354,0,$AG$6),"NON-COMPLIED")=1,1,0)))))</f>
        <v>0</v>
      </c>
    </row>
    <row r="1355" customFormat="false" ht="15" hidden="false" customHeight="false" outlineLevel="0" collapsed="false">
      <c r="AH1355" s="21" t="n">
        <f aca="false">IF($AG$4=0,0,IF($AG$6=0,0,IF(INDEX($A1355:$AD1355,$AG$4)="",0,IF(INDEX($A1355:$AD1355,$AG$6)&lt;&gt;"NON-COMPLIED",0,IF(COUNTIFS(INDEX($A$3:$AD$1355,0,$AG$4),INDEX($A1355:$AD1355,$AG$4),INDEX($A$3:$AD$1355,0,$AG$6),"NON-COMPLIED")=1,1,0)))))</f>
        <v>0</v>
      </c>
    </row>
    <row r="1356" customFormat="false" ht="15" hidden="false" customHeight="false" outlineLevel="0" collapsed="false">
      <c r="AH1356" s="21" t="n">
        <f aca="false">IF($AG$4=0,0,IF($AG$6=0,0,IF(INDEX($A1356:$AD1356,$AG$4)="",0,IF(INDEX($A1356:$AD1356,$AG$6)&lt;&gt;"NON-COMPLIED",0,IF(COUNTIFS(INDEX($A$3:$AD$1356,0,$AG$4),INDEX($A1356:$AD1356,$AG$4),INDEX($A$3:$AD$1356,0,$AG$6),"NON-COMPLIED")=1,1,0)))))</f>
        <v>0</v>
      </c>
    </row>
    <row r="1357" customFormat="false" ht="15" hidden="false" customHeight="false" outlineLevel="0" collapsed="false">
      <c r="AH1357" s="21" t="n">
        <f aca="false">IF($AG$4=0,0,IF($AG$6=0,0,IF(INDEX($A1357:$AD1357,$AG$4)="",0,IF(INDEX($A1357:$AD1357,$AG$6)&lt;&gt;"NON-COMPLIED",0,IF(COUNTIFS(INDEX($A$3:$AD$1357,0,$AG$4),INDEX($A1357:$AD1357,$AG$4),INDEX($A$3:$AD$1357,0,$AG$6),"NON-COMPLIED")=1,1,0)))))</f>
        <v>0</v>
      </c>
    </row>
    <row r="1358" customFormat="false" ht="15" hidden="false" customHeight="false" outlineLevel="0" collapsed="false">
      <c r="AH1358" s="21" t="n">
        <f aca="false">IF($AG$4=0,0,IF($AG$6=0,0,IF(INDEX($A1358:$AD1358,$AG$4)="",0,IF(INDEX($A1358:$AD1358,$AG$6)&lt;&gt;"NON-COMPLIED",0,IF(COUNTIFS(INDEX($A$3:$AD$1358,0,$AG$4),INDEX($A1358:$AD1358,$AG$4),INDEX($A$3:$AD$1358,0,$AG$6),"NON-COMPLIED")=1,1,0)))))</f>
        <v>0</v>
      </c>
    </row>
    <row r="1359" customFormat="false" ht="15" hidden="false" customHeight="false" outlineLevel="0" collapsed="false">
      <c r="AH1359" s="21" t="n">
        <f aca="false">IF($AG$4=0,0,IF($AG$6=0,0,IF(INDEX($A1359:$AD1359,$AG$4)="",0,IF(INDEX($A1359:$AD1359,$AG$6)&lt;&gt;"NON-COMPLIED",0,IF(COUNTIFS(INDEX($A$3:$AD$1359,0,$AG$4),INDEX($A1359:$AD1359,$AG$4),INDEX($A$3:$AD$1359,0,$AG$6),"NON-COMPLIED")=1,1,0)))))</f>
        <v>0</v>
      </c>
    </row>
    <row r="1360" customFormat="false" ht="15" hidden="false" customHeight="false" outlineLevel="0" collapsed="false">
      <c r="AH1360" s="21" t="n">
        <f aca="false">IF($AG$4=0,0,IF($AG$6=0,0,IF(INDEX($A1360:$AD1360,$AG$4)="",0,IF(INDEX($A1360:$AD1360,$AG$6)&lt;&gt;"NON-COMPLIED",0,IF(COUNTIFS(INDEX($A$3:$AD$1360,0,$AG$4),INDEX($A1360:$AD1360,$AG$4),INDEX($A$3:$AD$1360,0,$AG$6),"NON-COMPLIED")=1,1,0)))))</f>
        <v>0</v>
      </c>
    </row>
    <row r="1361" customFormat="false" ht="15" hidden="false" customHeight="false" outlineLevel="0" collapsed="false">
      <c r="AH1361" s="21" t="n">
        <f aca="false">IF($AG$4=0,0,IF($AG$6=0,0,IF(INDEX($A1361:$AD1361,$AG$4)="",0,IF(INDEX($A1361:$AD1361,$AG$6)&lt;&gt;"NON-COMPLIED",0,IF(COUNTIFS(INDEX($A$3:$AD$1361,0,$AG$4),INDEX($A1361:$AD1361,$AG$4),INDEX($A$3:$AD$1361,0,$AG$6),"NON-COMPLIED")=1,1,0)))))</f>
        <v>0</v>
      </c>
    </row>
    <row r="1362" customFormat="false" ht="15" hidden="false" customHeight="false" outlineLevel="0" collapsed="false">
      <c r="AH1362" s="21" t="n">
        <f aca="false">IF($AG$4=0,0,IF($AG$6=0,0,IF(INDEX($A1362:$AD1362,$AG$4)="",0,IF(INDEX($A1362:$AD1362,$AG$6)&lt;&gt;"NON-COMPLIED",0,IF(COUNTIFS(INDEX($A$3:$AD$1362,0,$AG$4),INDEX($A1362:$AD1362,$AG$4),INDEX($A$3:$AD$1362,0,$AG$6),"NON-COMPLIED")=1,1,0)))))</f>
        <v>0</v>
      </c>
    </row>
    <row r="1363" customFormat="false" ht="15" hidden="false" customHeight="false" outlineLevel="0" collapsed="false">
      <c r="AH1363" s="21" t="n">
        <f aca="false">IF($AG$4=0,0,IF($AG$6=0,0,IF(INDEX($A1363:$AD1363,$AG$4)="",0,IF(INDEX($A1363:$AD1363,$AG$6)&lt;&gt;"NON-COMPLIED",0,IF(COUNTIFS(INDEX($A$3:$AD$1363,0,$AG$4),INDEX($A1363:$AD1363,$AG$4),INDEX($A$3:$AD$1363,0,$AG$6),"NON-COMPLIED")=1,1,0)))))</f>
        <v>0</v>
      </c>
    </row>
    <row r="1364" customFormat="false" ht="15" hidden="false" customHeight="false" outlineLevel="0" collapsed="false">
      <c r="AH1364" s="21" t="n">
        <f aca="false">IF($AG$4=0,0,IF($AG$6=0,0,IF(INDEX($A1364:$AD1364,$AG$4)="",0,IF(INDEX($A1364:$AD1364,$AG$6)&lt;&gt;"NON-COMPLIED",0,IF(COUNTIFS(INDEX($A$3:$AD$1364,0,$AG$4),INDEX($A1364:$AD1364,$AG$4),INDEX($A$3:$AD$1364,0,$AG$6),"NON-COMPLIED")=1,1,0)))))</f>
        <v>0</v>
      </c>
    </row>
    <row r="1365" customFormat="false" ht="15" hidden="false" customHeight="false" outlineLevel="0" collapsed="false">
      <c r="AH1365" s="21" t="n">
        <f aca="false">IF($AG$4=0,0,IF($AG$6=0,0,IF(INDEX($A1365:$AD1365,$AG$4)="",0,IF(INDEX($A1365:$AD1365,$AG$6)&lt;&gt;"NON-COMPLIED",0,IF(COUNTIFS(INDEX($A$3:$AD$1365,0,$AG$4),INDEX($A1365:$AD1365,$AG$4),INDEX($A$3:$AD$1365,0,$AG$6),"NON-COMPLIED")=1,1,0)))))</f>
        <v>0</v>
      </c>
    </row>
    <row r="1366" customFormat="false" ht="15" hidden="false" customHeight="false" outlineLevel="0" collapsed="false">
      <c r="AH1366" s="21" t="n">
        <f aca="false">IF($AG$4=0,0,IF($AG$6=0,0,IF(INDEX($A1366:$AD1366,$AG$4)="",0,IF(INDEX($A1366:$AD1366,$AG$6)&lt;&gt;"NON-COMPLIED",0,IF(COUNTIFS(INDEX($A$3:$AD$1366,0,$AG$4),INDEX($A1366:$AD1366,$AG$4),INDEX($A$3:$AD$1366,0,$AG$6),"NON-COMPLIED")=1,1,0)))))</f>
        <v>0</v>
      </c>
    </row>
    <row r="1367" customFormat="false" ht="15" hidden="false" customHeight="false" outlineLevel="0" collapsed="false">
      <c r="AH1367" s="21" t="n">
        <f aca="false">IF($AG$4=0,0,IF($AG$6=0,0,IF(INDEX($A1367:$AD1367,$AG$4)="",0,IF(INDEX($A1367:$AD1367,$AG$6)&lt;&gt;"NON-COMPLIED",0,IF(COUNTIFS(INDEX($A$3:$AD$1367,0,$AG$4),INDEX($A1367:$AD1367,$AG$4),INDEX($A$3:$AD$1367,0,$AG$6),"NON-COMPLIED")=1,1,0)))))</f>
        <v>0</v>
      </c>
    </row>
    <row r="1368" customFormat="false" ht="15" hidden="false" customHeight="false" outlineLevel="0" collapsed="false">
      <c r="AH1368" s="21" t="n">
        <f aca="false">IF($AG$4=0,0,IF($AG$6=0,0,IF(INDEX($A1368:$AD1368,$AG$4)="",0,IF(INDEX($A1368:$AD1368,$AG$6)&lt;&gt;"NON-COMPLIED",0,IF(COUNTIFS(INDEX($A$3:$AD$1368,0,$AG$4),INDEX($A1368:$AD1368,$AG$4),INDEX($A$3:$AD$1368,0,$AG$6),"NON-COMPLIED")=1,1,0)))))</f>
        <v>0</v>
      </c>
    </row>
    <row r="1369" customFormat="false" ht="15" hidden="false" customHeight="false" outlineLevel="0" collapsed="false">
      <c r="AH1369" s="21" t="n">
        <f aca="false">IF($AG$4=0,0,IF($AG$6=0,0,IF(INDEX($A1369:$AD1369,$AG$4)="",0,IF(INDEX($A1369:$AD1369,$AG$6)&lt;&gt;"NON-COMPLIED",0,IF(COUNTIFS(INDEX($A$3:$AD$1369,0,$AG$4),INDEX($A1369:$AD1369,$AG$4),INDEX($A$3:$AD$1369,0,$AG$6),"NON-COMPLIED")=1,1,0)))))</f>
        <v>0</v>
      </c>
    </row>
    <row r="1370" customFormat="false" ht="15" hidden="false" customHeight="false" outlineLevel="0" collapsed="false">
      <c r="AH1370" s="21" t="n">
        <f aca="false">IF($AG$4=0,0,IF($AG$6=0,0,IF(INDEX($A1370:$AD1370,$AG$4)="",0,IF(INDEX($A1370:$AD1370,$AG$6)&lt;&gt;"NON-COMPLIED",0,IF(COUNTIFS(INDEX($A$3:$AD$1370,0,$AG$4),INDEX($A1370:$AD1370,$AG$4),INDEX($A$3:$AD$1370,0,$AG$6),"NON-COMPLIED")=1,1,0)))))</f>
        <v>0</v>
      </c>
    </row>
    <row r="1371" customFormat="false" ht="15" hidden="false" customHeight="false" outlineLevel="0" collapsed="false">
      <c r="AH1371" s="21" t="n">
        <f aca="false">IF($AG$4=0,0,IF($AG$6=0,0,IF(INDEX($A1371:$AD1371,$AG$4)="",0,IF(INDEX($A1371:$AD1371,$AG$6)&lt;&gt;"NON-COMPLIED",0,IF(COUNTIFS(INDEX($A$3:$AD$1371,0,$AG$4),INDEX($A1371:$AD1371,$AG$4),INDEX($A$3:$AD$1371,0,$AG$6),"NON-COMPLIED")=1,1,0)))))</f>
        <v>0</v>
      </c>
    </row>
    <row r="1372" customFormat="false" ht="15" hidden="false" customHeight="false" outlineLevel="0" collapsed="false">
      <c r="AH1372" s="21" t="n">
        <f aca="false">IF($AG$4=0,0,IF($AG$6=0,0,IF(INDEX($A1372:$AD1372,$AG$4)="",0,IF(INDEX($A1372:$AD1372,$AG$6)&lt;&gt;"NON-COMPLIED",0,IF(COUNTIFS(INDEX($A$3:$AD$1372,0,$AG$4),INDEX($A1372:$AD1372,$AG$4),INDEX($A$3:$AD$1372,0,$AG$6),"NON-COMPLIED")=1,1,0)))))</f>
        <v>0</v>
      </c>
    </row>
    <row r="1373" customFormat="false" ht="15" hidden="false" customHeight="false" outlineLevel="0" collapsed="false">
      <c r="AH1373" s="21" t="n">
        <f aca="false">IF($AG$4=0,0,IF($AG$6=0,0,IF(INDEX($A1373:$AD1373,$AG$4)="",0,IF(INDEX($A1373:$AD1373,$AG$6)&lt;&gt;"NON-COMPLIED",0,IF(COUNTIFS(INDEX($A$3:$AD$1373,0,$AG$4),INDEX($A1373:$AD1373,$AG$4),INDEX($A$3:$AD$1373,0,$AG$6),"NON-COMPLIED")=1,1,0)))))</f>
        <v>0</v>
      </c>
    </row>
    <row r="1374" customFormat="false" ht="15" hidden="false" customHeight="false" outlineLevel="0" collapsed="false">
      <c r="AH1374" s="21" t="n">
        <f aca="false">IF($AG$4=0,0,IF($AG$6=0,0,IF(INDEX($A1374:$AD1374,$AG$4)="",0,IF(INDEX($A1374:$AD1374,$AG$6)&lt;&gt;"NON-COMPLIED",0,IF(COUNTIFS(INDEX($A$3:$AD$1374,0,$AG$4),INDEX($A1374:$AD1374,$AG$4),INDEX($A$3:$AD$1374,0,$AG$6),"NON-COMPLIED")=1,1,0)))))</f>
        <v>0</v>
      </c>
    </row>
    <row r="1375" customFormat="false" ht="15" hidden="false" customHeight="false" outlineLevel="0" collapsed="false">
      <c r="AH1375" s="21" t="n">
        <f aca="false">IF($AG$4=0,0,IF($AG$6=0,0,IF(INDEX($A1375:$AD1375,$AG$4)="",0,IF(INDEX($A1375:$AD1375,$AG$6)&lt;&gt;"NON-COMPLIED",0,IF(COUNTIFS(INDEX($A$3:$AD$1375,0,$AG$4),INDEX($A1375:$AD1375,$AG$4),INDEX($A$3:$AD$1375,0,$AG$6),"NON-COMPLIED")=1,1,0)))))</f>
        <v>0</v>
      </c>
    </row>
    <row r="1376" customFormat="false" ht="15" hidden="false" customHeight="false" outlineLevel="0" collapsed="false">
      <c r="AH1376" s="21" t="n">
        <f aca="false">IF($AG$4=0,0,IF($AG$6=0,0,IF(INDEX($A1376:$AD1376,$AG$4)="",0,IF(INDEX($A1376:$AD1376,$AG$6)&lt;&gt;"NON-COMPLIED",0,IF(COUNTIFS(INDEX($A$3:$AD$1376,0,$AG$4),INDEX($A1376:$AD1376,$AG$4),INDEX($A$3:$AD$1376,0,$AG$6),"NON-COMPLIED")=1,1,0)))))</f>
        <v>0</v>
      </c>
    </row>
    <row r="1377" customFormat="false" ht="15" hidden="false" customHeight="false" outlineLevel="0" collapsed="false">
      <c r="AH1377" s="21" t="n">
        <f aca="false">IF($AG$4=0,0,IF($AG$6=0,0,IF(INDEX($A1377:$AD1377,$AG$4)="",0,IF(INDEX($A1377:$AD1377,$AG$6)&lt;&gt;"NON-COMPLIED",0,IF(COUNTIFS(INDEX($A$3:$AD$1377,0,$AG$4),INDEX($A1377:$AD1377,$AG$4),INDEX($A$3:$AD$1377,0,$AG$6),"NON-COMPLIED")=1,1,0)))))</f>
        <v>0</v>
      </c>
    </row>
    <row r="1378" customFormat="false" ht="15" hidden="false" customHeight="false" outlineLevel="0" collapsed="false">
      <c r="AH1378" s="21" t="n">
        <f aca="false">IF($AG$4=0,0,IF($AG$6=0,0,IF(INDEX($A1378:$AD1378,$AG$4)="",0,IF(INDEX($A1378:$AD1378,$AG$6)&lt;&gt;"NON-COMPLIED",0,IF(COUNTIFS(INDEX($A$3:$AD$1378,0,$AG$4),INDEX($A1378:$AD1378,$AG$4),INDEX($A$3:$AD$1378,0,$AG$6),"NON-COMPLIED")=1,1,0)))))</f>
        <v>0</v>
      </c>
    </row>
    <row r="1379" customFormat="false" ht="15" hidden="false" customHeight="false" outlineLevel="0" collapsed="false">
      <c r="AH1379" s="21" t="n">
        <f aca="false">IF($AG$4=0,0,IF($AG$6=0,0,IF(INDEX($A1379:$AD1379,$AG$4)="",0,IF(INDEX($A1379:$AD1379,$AG$6)&lt;&gt;"NON-COMPLIED",0,IF(COUNTIFS(INDEX($A$3:$AD$1379,0,$AG$4),INDEX($A1379:$AD1379,$AG$4),INDEX($A$3:$AD$1379,0,$AG$6),"NON-COMPLIED")=1,1,0)))))</f>
        <v>0</v>
      </c>
    </row>
    <row r="1380" customFormat="false" ht="15" hidden="false" customHeight="false" outlineLevel="0" collapsed="false">
      <c r="AH1380" s="21" t="n">
        <f aca="false">IF($AG$4=0,0,IF($AG$6=0,0,IF(INDEX($A1380:$AD1380,$AG$4)="",0,IF(INDEX($A1380:$AD1380,$AG$6)&lt;&gt;"NON-COMPLIED",0,IF(COUNTIFS(INDEX($A$3:$AD$1380,0,$AG$4),INDEX($A1380:$AD1380,$AG$4),INDEX($A$3:$AD$1380,0,$AG$6),"NON-COMPLIED")=1,1,0)))))</f>
        <v>0</v>
      </c>
    </row>
    <row r="1381" customFormat="false" ht="15" hidden="false" customHeight="false" outlineLevel="0" collapsed="false">
      <c r="AH1381" s="21" t="n">
        <f aca="false">IF($AG$4=0,0,IF($AG$6=0,0,IF(INDEX($A1381:$AD1381,$AG$4)="",0,IF(INDEX($A1381:$AD1381,$AG$6)&lt;&gt;"NON-COMPLIED",0,IF(COUNTIFS(INDEX($A$3:$AD$1381,0,$AG$4),INDEX($A1381:$AD1381,$AG$4),INDEX($A$3:$AD$1381,0,$AG$6),"NON-COMPLIED")=1,1,0)))))</f>
        <v>0</v>
      </c>
    </row>
    <row r="1382" customFormat="false" ht="15" hidden="false" customHeight="false" outlineLevel="0" collapsed="false">
      <c r="AH1382" s="21" t="n">
        <f aca="false">IF($AG$4=0,0,IF($AG$6=0,0,IF(INDEX($A1382:$AD1382,$AG$4)="",0,IF(INDEX($A1382:$AD1382,$AG$6)&lt;&gt;"NON-COMPLIED",0,IF(COUNTIFS(INDEX($A$3:$AD$1382,0,$AG$4),INDEX($A1382:$AD1382,$AG$4),INDEX($A$3:$AD$1382,0,$AG$6),"NON-COMPLIED")=1,1,0)))))</f>
        <v>0</v>
      </c>
    </row>
    <row r="1383" customFormat="false" ht="15" hidden="false" customHeight="false" outlineLevel="0" collapsed="false">
      <c r="AH1383" s="21" t="n">
        <f aca="false">IF($AG$4=0,0,IF($AG$6=0,0,IF(INDEX($A1383:$AD1383,$AG$4)="",0,IF(INDEX($A1383:$AD1383,$AG$6)&lt;&gt;"NON-COMPLIED",0,IF(COUNTIFS(INDEX($A$3:$AD$1383,0,$AG$4),INDEX($A1383:$AD1383,$AG$4),INDEX($A$3:$AD$1383,0,$AG$6),"NON-COMPLIED")=1,1,0)))))</f>
        <v>0</v>
      </c>
    </row>
    <row r="1384" customFormat="false" ht="15" hidden="false" customHeight="false" outlineLevel="0" collapsed="false">
      <c r="AH1384" s="21" t="n">
        <f aca="false">IF($AG$4=0,0,IF($AG$6=0,0,IF(INDEX($A1384:$AD1384,$AG$4)="",0,IF(INDEX($A1384:$AD1384,$AG$6)&lt;&gt;"NON-COMPLIED",0,IF(COUNTIFS(INDEX($A$3:$AD$1384,0,$AG$4),INDEX($A1384:$AD1384,$AG$4),INDEX($A$3:$AD$1384,0,$AG$6),"NON-COMPLIED")=1,1,0)))))</f>
        <v>0</v>
      </c>
    </row>
    <row r="1385" customFormat="false" ht="15" hidden="false" customHeight="false" outlineLevel="0" collapsed="false">
      <c r="AH1385" s="21" t="n">
        <f aca="false">IF($AG$4=0,0,IF($AG$6=0,0,IF(INDEX($A1385:$AD1385,$AG$4)="",0,IF(INDEX($A1385:$AD1385,$AG$6)&lt;&gt;"NON-COMPLIED",0,IF(COUNTIFS(INDEX($A$3:$AD$1385,0,$AG$4),INDEX($A1385:$AD1385,$AG$4),INDEX($A$3:$AD$1385,0,$AG$6),"NON-COMPLIED")=1,1,0)))))</f>
        <v>0</v>
      </c>
    </row>
    <row r="1386" customFormat="false" ht="15" hidden="false" customHeight="false" outlineLevel="0" collapsed="false">
      <c r="AH1386" s="21" t="n">
        <f aca="false">IF($AG$4=0,0,IF($AG$6=0,0,IF(INDEX($A1386:$AD1386,$AG$4)="",0,IF(INDEX($A1386:$AD1386,$AG$6)&lt;&gt;"NON-COMPLIED",0,IF(COUNTIFS(INDEX($A$3:$AD$1386,0,$AG$4),INDEX($A1386:$AD1386,$AG$4),INDEX($A$3:$AD$1386,0,$AG$6),"NON-COMPLIED")=1,1,0)))))</f>
        <v>0</v>
      </c>
    </row>
    <row r="1387" customFormat="false" ht="15" hidden="false" customHeight="false" outlineLevel="0" collapsed="false">
      <c r="AH1387" s="21" t="n">
        <f aca="false">IF($AG$4=0,0,IF($AG$6=0,0,IF(INDEX($A1387:$AD1387,$AG$4)="",0,IF(INDEX($A1387:$AD1387,$AG$6)&lt;&gt;"NON-COMPLIED",0,IF(COUNTIFS(INDEX($A$3:$AD$1387,0,$AG$4),INDEX($A1387:$AD1387,$AG$4),INDEX($A$3:$AD$1387,0,$AG$6),"NON-COMPLIED")=1,1,0)))))</f>
        <v>0</v>
      </c>
    </row>
    <row r="1388" customFormat="false" ht="15" hidden="false" customHeight="false" outlineLevel="0" collapsed="false">
      <c r="AH1388" s="21" t="n">
        <f aca="false">IF($AG$4=0,0,IF($AG$6=0,0,IF(INDEX($A1388:$AD1388,$AG$4)="",0,IF(INDEX($A1388:$AD1388,$AG$6)&lt;&gt;"NON-COMPLIED",0,IF(COUNTIFS(INDEX($A$3:$AD$1388,0,$AG$4),INDEX($A1388:$AD1388,$AG$4),INDEX($A$3:$AD$1388,0,$AG$6),"NON-COMPLIED")=1,1,0)))))</f>
        <v>0</v>
      </c>
    </row>
    <row r="1389" customFormat="false" ht="15" hidden="false" customHeight="false" outlineLevel="0" collapsed="false">
      <c r="AH1389" s="21" t="n">
        <f aca="false">IF($AG$4=0,0,IF($AG$6=0,0,IF(INDEX($A1389:$AD1389,$AG$4)="",0,IF(INDEX($A1389:$AD1389,$AG$6)&lt;&gt;"NON-COMPLIED",0,IF(COUNTIFS(INDEX($A$3:$AD$1389,0,$AG$4),INDEX($A1389:$AD1389,$AG$4),INDEX($A$3:$AD$1389,0,$AG$6),"NON-COMPLIED")=1,1,0)))))</f>
        <v>0</v>
      </c>
    </row>
    <row r="1390" customFormat="false" ht="15" hidden="false" customHeight="false" outlineLevel="0" collapsed="false">
      <c r="AH1390" s="21" t="n">
        <f aca="false">IF($AG$4=0,0,IF($AG$6=0,0,IF(INDEX($A1390:$AD1390,$AG$4)="",0,IF(INDEX($A1390:$AD1390,$AG$6)&lt;&gt;"NON-COMPLIED",0,IF(COUNTIFS(INDEX($A$3:$AD$1390,0,$AG$4),INDEX($A1390:$AD1390,$AG$4),INDEX($A$3:$AD$1390,0,$AG$6),"NON-COMPLIED")=1,1,0)))))</f>
        <v>0</v>
      </c>
    </row>
    <row r="1391" customFormat="false" ht="15" hidden="false" customHeight="false" outlineLevel="0" collapsed="false">
      <c r="AH1391" s="21" t="n">
        <f aca="false">IF($AG$4=0,0,IF($AG$6=0,0,IF(INDEX($A1391:$AD1391,$AG$4)="",0,IF(INDEX($A1391:$AD1391,$AG$6)&lt;&gt;"NON-COMPLIED",0,IF(COUNTIFS(INDEX($A$3:$AD$1391,0,$AG$4),INDEX($A1391:$AD1391,$AG$4),INDEX($A$3:$AD$1391,0,$AG$6),"NON-COMPLIED")=1,1,0)))))</f>
        <v>0</v>
      </c>
    </row>
    <row r="1392" customFormat="false" ht="15" hidden="false" customHeight="false" outlineLevel="0" collapsed="false">
      <c r="AH1392" s="21" t="n">
        <f aca="false">IF($AG$4=0,0,IF($AG$6=0,0,IF(INDEX($A1392:$AD1392,$AG$4)="",0,IF(INDEX($A1392:$AD1392,$AG$6)&lt;&gt;"NON-COMPLIED",0,IF(COUNTIFS(INDEX($A$3:$AD$1392,0,$AG$4),INDEX($A1392:$AD1392,$AG$4),INDEX($A$3:$AD$1392,0,$AG$6),"NON-COMPLIED")=1,1,0)))))</f>
        <v>0</v>
      </c>
    </row>
    <row r="1393" customFormat="false" ht="15" hidden="false" customHeight="false" outlineLevel="0" collapsed="false">
      <c r="AH1393" s="21" t="n">
        <f aca="false">IF($AG$4=0,0,IF($AG$6=0,0,IF(INDEX($A1393:$AD1393,$AG$4)="",0,IF(INDEX($A1393:$AD1393,$AG$6)&lt;&gt;"NON-COMPLIED",0,IF(COUNTIFS(INDEX($A$3:$AD$1393,0,$AG$4),INDEX($A1393:$AD1393,$AG$4),INDEX($A$3:$AD$1393,0,$AG$6),"NON-COMPLIED")=1,1,0)))))</f>
        <v>0</v>
      </c>
    </row>
    <row r="1394" customFormat="false" ht="15" hidden="false" customHeight="false" outlineLevel="0" collapsed="false">
      <c r="AH1394" s="21" t="n">
        <f aca="false">IF($AG$4=0,0,IF($AG$6=0,0,IF(INDEX($A1394:$AD1394,$AG$4)="",0,IF(INDEX($A1394:$AD1394,$AG$6)&lt;&gt;"NON-COMPLIED",0,IF(COUNTIFS(INDEX($A$3:$AD$1394,0,$AG$4),INDEX($A1394:$AD1394,$AG$4),INDEX($A$3:$AD$1394,0,$AG$6),"NON-COMPLIED")=1,1,0)))))</f>
        <v>0</v>
      </c>
    </row>
    <row r="1395" customFormat="false" ht="15" hidden="false" customHeight="false" outlineLevel="0" collapsed="false">
      <c r="AH1395" s="21" t="n">
        <f aca="false">IF($AG$4=0,0,IF($AG$6=0,0,IF(INDEX($A1395:$AD1395,$AG$4)="",0,IF(INDEX($A1395:$AD1395,$AG$6)&lt;&gt;"NON-COMPLIED",0,IF(COUNTIFS(INDEX($A$3:$AD$1395,0,$AG$4),INDEX($A1395:$AD1395,$AG$4),INDEX($A$3:$AD$1395,0,$AG$6),"NON-COMPLIED")=1,1,0)))))</f>
        <v>0</v>
      </c>
    </row>
    <row r="1396" customFormat="false" ht="15" hidden="false" customHeight="false" outlineLevel="0" collapsed="false">
      <c r="AH1396" s="21" t="n">
        <f aca="false">IF($AG$4=0,0,IF($AG$6=0,0,IF(INDEX($A1396:$AD1396,$AG$4)="",0,IF(INDEX($A1396:$AD1396,$AG$6)&lt;&gt;"NON-COMPLIED",0,IF(COUNTIFS(INDEX($A$3:$AD$1396,0,$AG$4),INDEX($A1396:$AD1396,$AG$4),INDEX($A$3:$AD$1396,0,$AG$6),"NON-COMPLIED")=1,1,0)))))</f>
        <v>0</v>
      </c>
    </row>
    <row r="1397" customFormat="false" ht="15" hidden="false" customHeight="false" outlineLevel="0" collapsed="false">
      <c r="AH1397" s="21" t="n">
        <f aca="false">IF($AG$4=0,0,IF($AG$6=0,0,IF(INDEX($A1397:$AD1397,$AG$4)="",0,IF(INDEX($A1397:$AD1397,$AG$6)&lt;&gt;"NON-COMPLIED",0,IF(COUNTIFS(INDEX($A$3:$AD$1397,0,$AG$4),INDEX($A1397:$AD1397,$AG$4),INDEX($A$3:$AD$1397,0,$AG$6),"NON-COMPLIED")=1,1,0)))))</f>
        <v>0</v>
      </c>
    </row>
    <row r="1398" customFormat="false" ht="15" hidden="false" customHeight="false" outlineLevel="0" collapsed="false">
      <c r="AH1398" s="21" t="n">
        <f aca="false">IF($AG$4=0,0,IF($AG$6=0,0,IF(INDEX($A1398:$AD1398,$AG$4)="",0,IF(INDEX($A1398:$AD1398,$AG$6)&lt;&gt;"NON-COMPLIED",0,IF(COUNTIFS(INDEX($A$3:$AD$1398,0,$AG$4),INDEX($A1398:$AD1398,$AG$4),INDEX($A$3:$AD$1398,0,$AG$6),"NON-COMPLIED")=1,1,0)))))</f>
        <v>0</v>
      </c>
    </row>
    <row r="1399" customFormat="false" ht="15" hidden="false" customHeight="false" outlineLevel="0" collapsed="false">
      <c r="AH1399" s="21" t="n">
        <f aca="false">IF($AG$4=0,0,IF($AG$6=0,0,IF(INDEX($A1399:$AD1399,$AG$4)="",0,IF(INDEX($A1399:$AD1399,$AG$6)&lt;&gt;"NON-COMPLIED",0,IF(COUNTIFS(INDEX($A$3:$AD$1399,0,$AG$4),INDEX($A1399:$AD1399,$AG$4),INDEX($A$3:$AD$1399,0,$AG$6),"NON-COMPLIED")=1,1,0)))))</f>
        <v>0</v>
      </c>
    </row>
    <row r="1400" customFormat="false" ht="15" hidden="false" customHeight="false" outlineLevel="0" collapsed="false">
      <c r="AH1400" s="21" t="n">
        <f aca="false">IF($AG$4=0,0,IF($AG$6=0,0,IF(INDEX($A1400:$AD1400,$AG$4)="",0,IF(INDEX($A1400:$AD1400,$AG$6)&lt;&gt;"NON-COMPLIED",0,IF(COUNTIFS(INDEX($A$3:$AD$1400,0,$AG$4),INDEX($A1400:$AD1400,$AG$4),INDEX($A$3:$AD$1400,0,$AG$6),"NON-COMPLIED")=1,1,0)))))</f>
        <v>0</v>
      </c>
    </row>
    <row r="1401" customFormat="false" ht="15" hidden="false" customHeight="false" outlineLevel="0" collapsed="false">
      <c r="AH1401" s="21" t="n">
        <f aca="false">IF($AG$4=0,0,IF($AG$6=0,0,IF(INDEX($A1401:$AD1401,$AG$4)="",0,IF(INDEX($A1401:$AD1401,$AG$6)&lt;&gt;"NON-COMPLIED",0,IF(COUNTIFS(INDEX($A$3:$AD$1401,0,$AG$4),INDEX($A1401:$AD1401,$AG$4),INDEX($A$3:$AD$1401,0,$AG$6),"NON-COMPLIED")=1,1,0)))))</f>
        <v>0</v>
      </c>
    </row>
    <row r="1402" customFormat="false" ht="15" hidden="false" customHeight="false" outlineLevel="0" collapsed="false">
      <c r="AH1402" s="21" t="n">
        <f aca="false">IF($AG$4=0,0,IF($AG$6=0,0,IF(INDEX($A1402:$AD1402,$AG$4)="",0,IF(INDEX($A1402:$AD1402,$AG$6)&lt;&gt;"NON-COMPLIED",0,IF(COUNTIFS(INDEX($A$3:$AD$1402,0,$AG$4),INDEX($A1402:$AD1402,$AG$4),INDEX($A$3:$AD$1402,0,$AG$6),"NON-COMPLIED")=1,1,0)))))</f>
        <v>0</v>
      </c>
    </row>
    <row r="1403" customFormat="false" ht="15" hidden="false" customHeight="false" outlineLevel="0" collapsed="false">
      <c r="AH1403" s="21" t="n">
        <f aca="false">IF($AG$4=0,0,IF($AG$6=0,0,IF(INDEX($A1403:$AD1403,$AG$4)="",0,IF(INDEX($A1403:$AD1403,$AG$6)&lt;&gt;"NON-COMPLIED",0,IF(COUNTIFS(INDEX($A$3:$AD$1403,0,$AG$4),INDEX($A1403:$AD1403,$AG$4),INDEX($A$3:$AD$1403,0,$AG$6),"NON-COMPLIED")=1,1,0)))))</f>
        <v>0</v>
      </c>
    </row>
    <row r="1404" customFormat="false" ht="15" hidden="false" customHeight="false" outlineLevel="0" collapsed="false">
      <c r="AH1404" s="21" t="n">
        <f aca="false">IF($AG$4=0,0,IF($AG$6=0,0,IF(INDEX($A1404:$AD1404,$AG$4)="",0,IF(INDEX($A1404:$AD1404,$AG$6)&lt;&gt;"NON-COMPLIED",0,IF(COUNTIFS(INDEX($A$3:$AD$1404,0,$AG$4),INDEX($A1404:$AD1404,$AG$4),INDEX($A$3:$AD$1404,0,$AG$6),"NON-COMPLIED")=1,1,0)))))</f>
        <v>0</v>
      </c>
    </row>
    <row r="1405" customFormat="false" ht="15" hidden="false" customHeight="false" outlineLevel="0" collapsed="false">
      <c r="AH1405" s="21" t="n">
        <f aca="false">IF($AG$4=0,0,IF($AG$6=0,0,IF(INDEX($A1405:$AD1405,$AG$4)="",0,IF(INDEX($A1405:$AD1405,$AG$6)&lt;&gt;"NON-COMPLIED",0,IF(COUNTIFS(INDEX($A$3:$AD$1405,0,$AG$4),INDEX($A1405:$AD1405,$AG$4),INDEX($A$3:$AD$1405,0,$AG$6),"NON-COMPLIED")=1,1,0)))))</f>
        <v>0</v>
      </c>
    </row>
    <row r="1406" customFormat="false" ht="15" hidden="false" customHeight="false" outlineLevel="0" collapsed="false">
      <c r="AH1406" s="21" t="n">
        <f aca="false">IF($AG$4=0,0,IF($AG$6=0,0,IF(INDEX($A1406:$AD1406,$AG$4)="",0,IF(INDEX($A1406:$AD1406,$AG$6)&lt;&gt;"NON-COMPLIED",0,IF(COUNTIFS(INDEX($A$3:$AD$1406,0,$AG$4),INDEX($A1406:$AD1406,$AG$4),INDEX($A$3:$AD$1406,0,$AG$6),"NON-COMPLIED")=1,1,0)))))</f>
        <v>0</v>
      </c>
    </row>
    <row r="1407" customFormat="false" ht="15" hidden="false" customHeight="false" outlineLevel="0" collapsed="false">
      <c r="AH1407" s="21" t="n">
        <f aca="false">IF($AG$4=0,0,IF($AG$6=0,0,IF(INDEX($A1407:$AD1407,$AG$4)="",0,IF(INDEX($A1407:$AD1407,$AG$6)&lt;&gt;"NON-COMPLIED",0,IF(COUNTIFS(INDEX($A$3:$AD$1407,0,$AG$4),INDEX($A1407:$AD1407,$AG$4),INDEX($A$3:$AD$1407,0,$AG$6),"NON-COMPLIED")=1,1,0)))))</f>
        <v>0</v>
      </c>
    </row>
    <row r="1408" customFormat="false" ht="15" hidden="false" customHeight="false" outlineLevel="0" collapsed="false">
      <c r="AH1408" s="21" t="n">
        <f aca="false">IF($AG$4=0,0,IF($AG$6=0,0,IF(INDEX($A1408:$AD1408,$AG$4)="",0,IF(INDEX($A1408:$AD1408,$AG$6)&lt;&gt;"NON-COMPLIED",0,IF(COUNTIFS(INDEX($A$3:$AD$1408,0,$AG$4),INDEX($A1408:$AD1408,$AG$4),INDEX($A$3:$AD$1408,0,$AG$6),"NON-COMPLIED")=1,1,0)))))</f>
        <v>0</v>
      </c>
    </row>
    <row r="1409" customFormat="false" ht="15" hidden="false" customHeight="false" outlineLevel="0" collapsed="false">
      <c r="AH1409" s="21" t="n">
        <f aca="false">IF($AG$4=0,0,IF($AG$6=0,0,IF(INDEX($A1409:$AD1409,$AG$4)="",0,IF(INDEX($A1409:$AD1409,$AG$6)&lt;&gt;"NON-COMPLIED",0,IF(COUNTIFS(INDEX($A$3:$AD$1409,0,$AG$4),INDEX($A1409:$AD1409,$AG$4),INDEX($A$3:$AD$1409,0,$AG$6),"NON-COMPLIED")=1,1,0)))))</f>
        <v>0</v>
      </c>
    </row>
    <row r="1410" customFormat="false" ht="15" hidden="false" customHeight="false" outlineLevel="0" collapsed="false">
      <c r="AH1410" s="21" t="n">
        <f aca="false">IF($AG$4=0,0,IF($AG$6=0,0,IF(INDEX($A1410:$AD1410,$AG$4)="",0,IF(INDEX($A1410:$AD1410,$AG$6)&lt;&gt;"NON-COMPLIED",0,IF(COUNTIFS(INDEX($A$3:$AD$1410,0,$AG$4),INDEX($A1410:$AD1410,$AG$4),INDEX($A$3:$AD$1410,0,$AG$6),"NON-COMPLIED")=1,1,0)))))</f>
        <v>0</v>
      </c>
    </row>
    <row r="1411" customFormat="false" ht="15" hidden="false" customHeight="false" outlineLevel="0" collapsed="false">
      <c r="AH1411" s="21" t="n">
        <f aca="false">IF($AG$4=0,0,IF($AG$6=0,0,IF(INDEX($A1411:$AD1411,$AG$4)="",0,IF(INDEX($A1411:$AD1411,$AG$6)&lt;&gt;"NON-COMPLIED",0,IF(COUNTIFS(INDEX($A$3:$AD$1411,0,$AG$4),INDEX($A1411:$AD1411,$AG$4),INDEX($A$3:$AD$1411,0,$AG$6),"NON-COMPLIED")=1,1,0)))))</f>
        <v>0</v>
      </c>
    </row>
    <row r="1412" customFormat="false" ht="15" hidden="false" customHeight="false" outlineLevel="0" collapsed="false">
      <c r="AH1412" s="21" t="n">
        <f aca="false">IF($AG$4=0,0,IF($AG$6=0,0,IF(INDEX($A1412:$AD1412,$AG$4)="",0,IF(INDEX($A1412:$AD1412,$AG$6)&lt;&gt;"NON-COMPLIED",0,IF(COUNTIFS(INDEX($A$3:$AD$1412,0,$AG$4),INDEX($A1412:$AD1412,$AG$4),INDEX($A$3:$AD$1412,0,$AG$6),"NON-COMPLIED")=1,1,0)))))</f>
        <v>0</v>
      </c>
    </row>
    <row r="1413" customFormat="false" ht="15" hidden="false" customHeight="false" outlineLevel="0" collapsed="false">
      <c r="AH1413" s="21" t="n">
        <f aca="false">IF($AG$4=0,0,IF($AG$6=0,0,IF(INDEX($A1413:$AD1413,$AG$4)="",0,IF(INDEX($A1413:$AD1413,$AG$6)&lt;&gt;"NON-COMPLIED",0,IF(COUNTIFS(INDEX($A$3:$AD$1413,0,$AG$4),INDEX($A1413:$AD1413,$AG$4),INDEX($A$3:$AD$1413,0,$AG$6),"NON-COMPLIED")=1,1,0)))))</f>
        <v>0</v>
      </c>
    </row>
    <row r="1414" customFormat="false" ht="15" hidden="false" customHeight="false" outlineLevel="0" collapsed="false">
      <c r="AH1414" s="21" t="n">
        <f aca="false">IF($AG$4=0,0,IF($AG$6=0,0,IF(INDEX($A1414:$AD1414,$AG$4)="",0,IF(INDEX($A1414:$AD1414,$AG$6)&lt;&gt;"NON-COMPLIED",0,IF(COUNTIFS(INDEX($A$3:$AD$1414,0,$AG$4),INDEX($A1414:$AD1414,$AG$4),INDEX($A$3:$AD$1414,0,$AG$6),"NON-COMPLIED")=1,1,0)))))</f>
        <v>0</v>
      </c>
    </row>
    <row r="1415" customFormat="false" ht="15" hidden="false" customHeight="false" outlineLevel="0" collapsed="false">
      <c r="AH1415" s="21" t="n">
        <f aca="false">IF($AG$4=0,0,IF($AG$6=0,0,IF(INDEX($A1415:$AD1415,$AG$4)="",0,IF(INDEX($A1415:$AD1415,$AG$6)&lt;&gt;"NON-COMPLIED",0,IF(COUNTIFS(INDEX($A$3:$AD$1415,0,$AG$4),INDEX($A1415:$AD1415,$AG$4),INDEX($A$3:$AD$1415,0,$AG$6),"NON-COMPLIED")=1,1,0)))))</f>
        <v>0</v>
      </c>
    </row>
    <row r="1416" customFormat="false" ht="15" hidden="false" customHeight="false" outlineLevel="0" collapsed="false">
      <c r="AH1416" s="21" t="n">
        <f aca="false">IF($AG$4=0,0,IF($AG$6=0,0,IF(INDEX($A1416:$AD1416,$AG$4)="",0,IF(INDEX($A1416:$AD1416,$AG$6)&lt;&gt;"NON-COMPLIED",0,IF(COUNTIFS(INDEX($A$3:$AD$1416,0,$AG$4),INDEX($A1416:$AD1416,$AG$4),INDEX($A$3:$AD$1416,0,$AG$6),"NON-COMPLIED")=1,1,0)))))</f>
        <v>0</v>
      </c>
    </row>
    <row r="1417" customFormat="false" ht="15" hidden="false" customHeight="false" outlineLevel="0" collapsed="false">
      <c r="AH1417" s="21" t="n">
        <f aca="false">IF($AG$4=0,0,IF($AG$6=0,0,IF(INDEX($A1417:$AD1417,$AG$4)="",0,IF(INDEX($A1417:$AD1417,$AG$6)&lt;&gt;"NON-COMPLIED",0,IF(COUNTIFS(INDEX($A$3:$AD$1417,0,$AG$4),INDEX($A1417:$AD1417,$AG$4),INDEX($A$3:$AD$1417,0,$AG$6),"NON-COMPLIED")=1,1,0)))))</f>
        <v>0</v>
      </c>
    </row>
    <row r="1418" customFormat="false" ht="15" hidden="false" customHeight="false" outlineLevel="0" collapsed="false">
      <c r="AH1418" s="21" t="n">
        <f aca="false">IF($AG$4=0,0,IF($AG$6=0,0,IF(INDEX($A1418:$AD1418,$AG$4)="",0,IF(INDEX($A1418:$AD1418,$AG$6)&lt;&gt;"NON-COMPLIED",0,IF(COUNTIFS(INDEX($A$3:$AD$1418,0,$AG$4),INDEX($A1418:$AD1418,$AG$4),INDEX($A$3:$AD$1418,0,$AG$6),"NON-COMPLIED")=1,1,0)))))</f>
        <v>0</v>
      </c>
    </row>
    <row r="1419" customFormat="false" ht="15" hidden="false" customHeight="false" outlineLevel="0" collapsed="false">
      <c r="AH1419" s="21" t="n">
        <f aca="false">IF($AG$4=0,0,IF($AG$6=0,0,IF(INDEX($A1419:$AD1419,$AG$4)="",0,IF(INDEX($A1419:$AD1419,$AG$6)&lt;&gt;"NON-COMPLIED",0,IF(COUNTIFS(INDEX($A$3:$AD$1419,0,$AG$4),INDEX($A1419:$AD1419,$AG$4),INDEX($A$3:$AD$1419,0,$AG$6),"NON-COMPLIED")=1,1,0)))))</f>
        <v>0</v>
      </c>
    </row>
    <row r="1420" customFormat="false" ht="15" hidden="false" customHeight="false" outlineLevel="0" collapsed="false">
      <c r="AH1420" s="21" t="n">
        <f aca="false">IF($AG$4=0,0,IF($AG$6=0,0,IF(INDEX($A1420:$AD1420,$AG$4)="",0,IF(INDEX($A1420:$AD1420,$AG$6)&lt;&gt;"NON-COMPLIED",0,IF(COUNTIFS(INDEX($A$3:$AD$1420,0,$AG$4),INDEX($A1420:$AD1420,$AG$4),INDEX($A$3:$AD$1420,0,$AG$6),"NON-COMPLIED")=1,1,0)))))</f>
        <v>0</v>
      </c>
    </row>
    <row r="1421" customFormat="false" ht="15" hidden="false" customHeight="false" outlineLevel="0" collapsed="false">
      <c r="AH1421" s="21" t="n">
        <f aca="false">IF($AG$4=0,0,IF($AG$6=0,0,IF(INDEX($A1421:$AD1421,$AG$4)="",0,IF(INDEX($A1421:$AD1421,$AG$6)&lt;&gt;"NON-COMPLIED",0,IF(COUNTIFS(INDEX($A$3:$AD$1421,0,$AG$4),INDEX($A1421:$AD1421,$AG$4),INDEX($A$3:$AD$1421,0,$AG$6),"NON-COMPLIED")=1,1,0)))))</f>
        <v>0</v>
      </c>
    </row>
    <row r="1422" customFormat="false" ht="15" hidden="false" customHeight="false" outlineLevel="0" collapsed="false">
      <c r="AH1422" s="21" t="n">
        <f aca="false">IF($AG$4=0,0,IF($AG$6=0,0,IF(INDEX($A1422:$AD1422,$AG$4)="",0,IF(INDEX($A1422:$AD1422,$AG$6)&lt;&gt;"NON-COMPLIED",0,IF(COUNTIFS(INDEX($A$3:$AD$1422,0,$AG$4),INDEX($A1422:$AD1422,$AG$4),INDEX($A$3:$AD$1422,0,$AG$6),"NON-COMPLIED")=1,1,0)))))</f>
        <v>0</v>
      </c>
    </row>
    <row r="1423" customFormat="false" ht="15" hidden="false" customHeight="false" outlineLevel="0" collapsed="false">
      <c r="AH1423" s="21" t="n">
        <f aca="false">IF($AG$4=0,0,IF($AG$6=0,0,IF(INDEX($A1423:$AD1423,$AG$4)="",0,IF(INDEX($A1423:$AD1423,$AG$6)&lt;&gt;"NON-COMPLIED",0,IF(COUNTIFS(INDEX($A$3:$AD$1423,0,$AG$4),INDEX($A1423:$AD1423,$AG$4),INDEX($A$3:$AD$1423,0,$AG$6),"NON-COMPLIED")=1,1,0)))))</f>
        <v>0</v>
      </c>
    </row>
    <row r="1424" customFormat="false" ht="15" hidden="false" customHeight="false" outlineLevel="0" collapsed="false">
      <c r="AH1424" s="21" t="n">
        <f aca="false">IF($AG$4=0,0,IF($AG$6=0,0,IF(INDEX($A1424:$AD1424,$AG$4)="",0,IF(INDEX($A1424:$AD1424,$AG$6)&lt;&gt;"NON-COMPLIED",0,IF(COUNTIFS(INDEX($A$3:$AD$1424,0,$AG$4),INDEX($A1424:$AD1424,$AG$4),INDEX($A$3:$AD$1424,0,$AG$6),"NON-COMPLIED")=1,1,0)))))</f>
        <v>0</v>
      </c>
    </row>
    <row r="1425" customFormat="false" ht="15" hidden="false" customHeight="false" outlineLevel="0" collapsed="false">
      <c r="AH1425" s="21" t="n">
        <f aca="false">IF($AG$4=0,0,IF($AG$6=0,0,IF(INDEX($A1425:$AD1425,$AG$4)="",0,IF(INDEX($A1425:$AD1425,$AG$6)&lt;&gt;"NON-COMPLIED",0,IF(COUNTIFS(INDEX($A$3:$AD$1425,0,$AG$4),INDEX($A1425:$AD1425,$AG$4),INDEX($A$3:$AD$1425,0,$AG$6),"NON-COMPLIED")=1,1,0)))))</f>
        <v>0</v>
      </c>
    </row>
    <row r="1426" customFormat="false" ht="15" hidden="false" customHeight="false" outlineLevel="0" collapsed="false">
      <c r="AH1426" s="21" t="n">
        <f aca="false">IF($AG$4=0,0,IF($AG$6=0,0,IF(INDEX($A1426:$AD1426,$AG$4)="",0,IF(INDEX($A1426:$AD1426,$AG$6)&lt;&gt;"NON-COMPLIED",0,IF(COUNTIFS(INDEX($A$3:$AD$1426,0,$AG$4),INDEX($A1426:$AD1426,$AG$4),INDEX($A$3:$AD$1426,0,$AG$6),"NON-COMPLIED")=1,1,0)))))</f>
        <v>0</v>
      </c>
    </row>
    <row r="1427" customFormat="false" ht="15" hidden="false" customHeight="false" outlineLevel="0" collapsed="false">
      <c r="AH1427" s="21" t="n">
        <f aca="false">IF($AG$4=0,0,IF($AG$6=0,0,IF(INDEX($A1427:$AD1427,$AG$4)="",0,IF(INDEX($A1427:$AD1427,$AG$6)&lt;&gt;"NON-COMPLIED",0,IF(COUNTIFS(INDEX($A$3:$AD$1427,0,$AG$4),INDEX($A1427:$AD1427,$AG$4),INDEX($A$3:$AD$1427,0,$AG$6),"NON-COMPLIED")=1,1,0)))))</f>
        <v>0</v>
      </c>
    </row>
    <row r="1428" customFormat="false" ht="15" hidden="false" customHeight="false" outlineLevel="0" collapsed="false">
      <c r="AH1428" s="21" t="n">
        <f aca="false">IF($AG$4=0,0,IF($AG$6=0,0,IF(INDEX($A1428:$AD1428,$AG$4)="",0,IF(INDEX($A1428:$AD1428,$AG$6)&lt;&gt;"NON-COMPLIED",0,IF(COUNTIFS(INDEX($A$3:$AD$1428,0,$AG$4),INDEX($A1428:$AD1428,$AG$4),INDEX($A$3:$AD$1428,0,$AG$6),"NON-COMPLIED")=1,1,0)))))</f>
        <v>0</v>
      </c>
    </row>
    <row r="1429" customFormat="false" ht="15" hidden="false" customHeight="false" outlineLevel="0" collapsed="false">
      <c r="AH1429" s="21" t="n">
        <f aca="false">IF($AG$4=0,0,IF($AG$6=0,0,IF(INDEX($A1429:$AD1429,$AG$4)="",0,IF(INDEX($A1429:$AD1429,$AG$6)&lt;&gt;"NON-COMPLIED",0,IF(COUNTIFS(INDEX($A$3:$AD$1429,0,$AG$4),INDEX($A1429:$AD1429,$AG$4),INDEX($A$3:$AD$1429,0,$AG$6),"NON-COMPLIED")=1,1,0)))))</f>
        <v>0</v>
      </c>
    </row>
    <row r="1430" customFormat="false" ht="15" hidden="false" customHeight="false" outlineLevel="0" collapsed="false">
      <c r="AH1430" s="21" t="n">
        <f aca="false">IF($AG$4=0,0,IF($AG$6=0,0,IF(INDEX($A1430:$AD1430,$AG$4)="",0,IF(INDEX($A1430:$AD1430,$AG$6)&lt;&gt;"NON-COMPLIED",0,IF(COUNTIFS(INDEX($A$3:$AD$1430,0,$AG$4),INDEX($A1430:$AD1430,$AG$4),INDEX($A$3:$AD$1430,0,$AG$6),"NON-COMPLIED")=1,1,0)))))</f>
        <v>0</v>
      </c>
    </row>
    <row r="1431" customFormat="false" ht="15" hidden="false" customHeight="false" outlineLevel="0" collapsed="false">
      <c r="AH1431" s="21" t="n">
        <f aca="false">IF($AG$4=0,0,IF($AG$6=0,0,IF(INDEX($A1431:$AD1431,$AG$4)="",0,IF(INDEX($A1431:$AD1431,$AG$6)&lt;&gt;"NON-COMPLIED",0,IF(COUNTIFS(INDEX($A$3:$AD$1431,0,$AG$4),INDEX($A1431:$AD1431,$AG$4),INDEX($A$3:$AD$1431,0,$AG$6),"NON-COMPLIED")=1,1,0)))))</f>
        <v>0</v>
      </c>
    </row>
    <row r="1432" customFormat="false" ht="15" hidden="false" customHeight="false" outlineLevel="0" collapsed="false">
      <c r="AH1432" s="21" t="n">
        <f aca="false">IF($AG$4=0,0,IF($AG$6=0,0,IF(INDEX($A1432:$AD1432,$AG$4)="",0,IF(INDEX($A1432:$AD1432,$AG$6)&lt;&gt;"NON-COMPLIED",0,IF(COUNTIFS(INDEX($A$3:$AD$1432,0,$AG$4),INDEX($A1432:$AD1432,$AG$4),INDEX($A$3:$AD$1432,0,$AG$6),"NON-COMPLIED")=1,1,0)))))</f>
        <v>0</v>
      </c>
    </row>
    <row r="1433" customFormat="false" ht="15" hidden="false" customHeight="false" outlineLevel="0" collapsed="false">
      <c r="AH1433" s="21" t="n">
        <f aca="false">IF($AG$4=0,0,IF($AG$6=0,0,IF(INDEX($A1433:$AD1433,$AG$4)="",0,IF(INDEX($A1433:$AD1433,$AG$6)&lt;&gt;"NON-COMPLIED",0,IF(COUNTIFS(INDEX($A$3:$AD$1433,0,$AG$4),INDEX($A1433:$AD1433,$AG$4),INDEX($A$3:$AD$1433,0,$AG$6),"NON-COMPLIED")=1,1,0)))))</f>
        <v>0</v>
      </c>
    </row>
    <row r="1434" customFormat="false" ht="15" hidden="false" customHeight="false" outlineLevel="0" collapsed="false">
      <c r="AH1434" s="21" t="n">
        <f aca="false">IF($AG$4=0,0,IF($AG$6=0,0,IF(INDEX($A1434:$AD1434,$AG$4)="",0,IF(INDEX($A1434:$AD1434,$AG$6)&lt;&gt;"NON-COMPLIED",0,IF(COUNTIFS(INDEX($A$3:$AD$1434,0,$AG$4),INDEX($A1434:$AD1434,$AG$4),INDEX($A$3:$AD$1434,0,$AG$6),"NON-COMPLIED")=1,1,0)))))</f>
        <v>0</v>
      </c>
    </row>
    <row r="1435" customFormat="false" ht="15" hidden="false" customHeight="false" outlineLevel="0" collapsed="false">
      <c r="AH1435" s="21" t="n">
        <f aca="false">IF($AG$4=0,0,IF($AG$6=0,0,IF(INDEX($A1435:$AD1435,$AG$4)="",0,IF(INDEX($A1435:$AD1435,$AG$6)&lt;&gt;"NON-COMPLIED",0,IF(COUNTIFS(INDEX($A$3:$AD$1435,0,$AG$4),INDEX($A1435:$AD1435,$AG$4),INDEX($A$3:$AD$1435,0,$AG$6),"NON-COMPLIED")=1,1,0)))))</f>
        <v>0</v>
      </c>
    </row>
    <row r="1436" customFormat="false" ht="15" hidden="false" customHeight="false" outlineLevel="0" collapsed="false">
      <c r="AH1436" s="21" t="n">
        <f aca="false">IF($AG$4=0,0,IF($AG$6=0,0,IF(INDEX($A1436:$AD1436,$AG$4)="",0,IF(INDEX($A1436:$AD1436,$AG$6)&lt;&gt;"NON-COMPLIED",0,IF(COUNTIFS(INDEX($A$3:$AD$1436,0,$AG$4),INDEX($A1436:$AD1436,$AG$4),INDEX($A$3:$AD$1436,0,$AG$6),"NON-COMPLIED")=1,1,0)))))</f>
        <v>0</v>
      </c>
    </row>
    <row r="1437" customFormat="false" ht="15" hidden="false" customHeight="false" outlineLevel="0" collapsed="false">
      <c r="AH1437" s="21" t="n">
        <f aca="false">IF($AG$4=0,0,IF($AG$6=0,0,IF(INDEX($A1437:$AD1437,$AG$4)="",0,IF(INDEX($A1437:$AD1437,$AG$6)&lt;&gt;"NON-COMPLIED",0,IF(COUNTIFS(INDEX($A$3:$AD$1437,0,$AG$4),INDEX($A1437:$AD1437,$AG$4),INDEX($A$3:$AD$1437,0,$AG$6),"NON-COMPLIED")=1,1,0)))))</f>
        <v>0</v>
      </c>
    </row>
    <row r="1438" customFormat="false" ht="15" hidden="false" customHeight="false" outlineLevel="0" collapsed="false">
      <c r="AH1438" s="21" t="n">
        <f aca="false">IF($AG$4=0,0,IF($AG$6=0,0,IF(INDEX($A1438:$AD1438,$AG$4)="",0,IF(INDEX($A1438:$AD1438,$AG$6)&lt;&gt;"NON-COMPLIED",0,IF(COUNTIFS(INDEX($A$3:$AD$1438,0,$AG$4),INDEX($A1438:$AD1438,$AG$4),INDEX($A$3:$AD$1438,0,$AG$6),"NON-COMPLIED")=1,1,0)))))</f>
        <v>0</v>
      </c>
    </row>
    <row r="1439" customFormat="false" ht="15" hidden="false" customHeight="false" outlineLevel="0" collapsed="false">
      <c r="AH1439" s="21" t="n">
        <f aca="false">IF($AG$4=0,0,IF($AG$6=0,0,IF(INDEX($A1439:$AD1439,$AG$4)="",0,IF(INDEX($A1439:$AD1439,$AG$6)&lt;&gt;"NON-COMPLIED",0,IF(COUNTIFS(INDEX($A$3:$AD$1439,0,$AG$4),INDEX($A1439:$AD1439,$AG$4),INDEX($A$3:$AD$1439,0,$AG$6),"NON-COMPLIED")=1,1,0)))))</f>
        <v>0</v>
      </c>
    </row>
    <row r="1440" customFormat="false" ht="15" hidden="false" customHeight="false" outlineLevel="0" collapsed="false">
      <c r="AH1440" s="21" t="n">
        <f aca="false">IF($AG$4=0,0,IF($AG$6=0,0,IF(INDEX($A1440:$AD1440,$AG$4)="",0,IF(INDEX($A1440:$AD1440,$AG$6)&lt;&gt;"NON-COMPLIED",0,IF(COUNTIFS(INDEX($A$3:$AD$1440,0,$AG$4),INDEX($A1440:$AD1440,$AG$4),INDEX($A$3:$AD$1440,0,$AG$6),"NON-COMPLIED")=1,1,0)))))</f>
        <v>0</v>
      </c>
    </row>
    <row r="1441" customFormat="false" ht="15" hidden="false" customHeight="false" outlineLevel="0" collapsed="false">
      <c r="AH1441" s="21" t="n">
        <f aca="false">IF($AG$4=0,0,IF($AG$6=0,0,IF(INDEX($A1441:$AD1441,$AG$4)="",0,IF(INDEX($A1441:$AD1441,$AG$6)&lt;&gt;"NON-COMPLIED",0,IF(COUNTIFS(INDEX($A$3:$AD$1441,0,$AG$4),INDEX($A1441:$AD1441,$AG$4),INDEX($A$3:$AD$1441,0,$AG$6),"NON-COMPLIED")=1,1,0)))))</f>
        <v>0</v>
      </c>
    </row>
    <row r="1442" customFormat="false" ht="15" hidden="false" customHeight="false" outlineLevel="0" collapsed="false">
      <c r="AH1442" s="21" t="n">
        <f aca="false">IF($AG$4=0,0,IF($AG$6=0,0,IF(INDEX($A1442:$AD1442,$AG$4)="",0,IF(INDEX($A1442:$AD1442,$AG$6)&lt;&gt;"NON-COMPLIED",0,IF(COUNTIFS(INDEX($A$3:$AD$1442,0,$AG$4),INDEX($A1442:$AD1442,$AG$4),INDEX($A$3:$AD$1442,0,$AG$6),"NON-COMPLIED")=1,1,0)))))</f>
        <v>0</v>
      </c>
    </row>
    <row r="1443" customFormat="false" ht="15" hidden="false" customHeight="false" outlineLevel="0" collapsed="false">
      <c r="AH1443" s="21" t="n">
        <f aca="false">IF($AG$4=0,0,IF($AG$6=0,0,IF(INDEX($A1443:$AD1443,$AG$4)="",0,IF(INDEX($A1443:$AD1443,$AG$6)&lt;&gt;"NON-COMPLIED",0,IF(COUNTIFS(INDEX($A$3:$AD$1443,0,$AG$4),INDEX($A1443:$AD1443,$AG$4),INDEX($A$3:$AD$1443,0,$AG$6),"NON-COMPLIED")=1,1,0)))))</f>
        <v>0</v>
      </c>
    </row>
    <row r="1444" customFormat="false" ht="15" hidden="false" customHeight="false" outlineLevel="0" collapsed="false">
      <c r="AH1444" s="21" t="n">
        <f aca="false">IF($AG$4=0,0,IF($AG$6=0,0,IF(INDEX($A1444:$AD1444,$AG$4)="",0,IF(INDEX($A1444:$AD1444,$AG$6)&lt;&gt;"NON-COMPLIED",0,IF(COUNTIFS(INDEX($A$3:$AD$1444,0,$AG$4),INDEX($A1444:$AD1444,$AG$4),INDEX($A$3:$AD$1444,0,$AG$6),"NON-COMPLIED")=1,1,0)))))</f>
        <v>0</v>
      </c>
    </row>
    <row r="1445" customFormat="false" ht="15" hidden="false" customHeight="false" outlineLevel="0" collapsed="false">
      <c r="AH1445" s="21" t="n">
        <f aca="false">IF($AG$4=0,0,IF($AG$6=0,0,IF(INDEX($A1445:$AD1445,$AG$4)="",0,IF(INDEX($A1445:$AD1445,$AG$6)&lt;&gt;"NON-COMPLIED",0,IF(COUNTIFS(INDEX($A$3:$AD$1445,0,$AG$4),INDEX($A1445:$AD1445,$AG$4),INDEX($A$3:$AD$1445,0,$AG$6),"NON-COMPLIED")=1,1,0)))))</f>
        <v>0</v>
      </c>
    </row>
    <row r="1446" customFormat="false" ht="15" hidden="false" customHeight="false" outlineLevel="0" collapsed="false">
      <c r="AH1446" s="21" t="n">
        <f aca="false">IF($AG$4=0,0,IF($AG$6=0,0,IF(INDEX($A1446:$AD1446,$AG$4)="",0,IF(INDEX($A1446:$AD1446,$AG$6)&lt;&gt;"NON-COMPLIED",0,IF(COUNTIFS(INDEX($A$3:$AD$1446,0,$AG$4),INDEX($A1446:$AD1446,$AG$4),INDEX($A$3:$AD$1446,0,$AG$6),"NON-COMPLIED")=1,1,0)))))</f>
        <v>0</v>
      </c>
    </row>
    <row r="1447" customFormat="false" ht="15" hidden="false" customHeight="false" outlineLevel="0" collapsed="false">
      <c r="AH1447" s="21" t="n">
        <f aca="false">IF($AG$4=0,0,IF($AG$6=0,0,IF(INDEX($A1447:$AD1447,$AG$4)="",0,IF(INDEX($A1447:$AD1447,$AG$6)&lt;&gt;"NON-COMPLIED",0,IF(COUNTIFS(INDEX($A$3:$AD$1447,0,$AG$4),INDEX($A1447:$AD1447,$AG$4),INDEX($A$3:$AD$1447,0,$AG$6),"NON-COMPLIED")=1,1,0)))))</f>
        <v>0</v>
      </c>
    </row>
    <row r="1448" customFormat="false" ht="15" hidden="false" customHeight="false" outlineLevel="0" collapsed="false">
      <c r="AH1448" s="21" t="n">
        <f aca="false">IF($AG$4=0,0,IF($AG$6=0,0,IF(INDEX($A1448:$AD1448,$AG$4)="",0,IF(INDEX($A1448:$AD1448,$AG$6)&lt;&gt;"NON-COMPLIED",0,IF(COUNTIFS(INDEX($A$3:$AD$1448,0,$AG$4),INDEX($A1448:$AD1448,$AG$4),INDEX($A$3:$AD$1448,0,$AG$6),"NON-COMPLIED")=1,1,0)))))</f>
        <v>0</v>
      </c>
    </row>
    <row r="1449" customFormat="false" ht="15" hidden="false" customHeight="false" outlineLevel="0" collapsed="false">
      <c r="AH1449" s="21" t="n">
        <f aca="false">IF($AG$4=0,0,IF($AG$6=0,0,IF(INDEX($A1449:$AD1449,$AG$4)="",0,IF(INDEX($A1449:$AD1449,$AG$6)&lt;&gt;"NON-COMPLIED",0,IF(COUNTIFS(INDEX($A$3:$AD$1449,0,$AG$4),INDEX($A1449:$AD1449,$AG$4),INDEX($A$3:$AD$1449,0,$AG$6),"NON-COMPLIED")=1,1,0)))))</f>
        <v>0</v>
      </c>
    </row>
    <row r="1450" customFormat="false" ht="15" hidden="false" customHeight="false" outlineLevel="0" collapsed="false">
      <c r="AH1450" s="21" t="n">
        <f aca="false">IF($AG$4=0,0,IF($AG$6=0,0,IF(INDEX($A1450:$AD1450,$AG$4)="",0,IF(INDEX($A1450:$AD1450,$AG$6)&lt;&gt;"NON-COMPLIED",0,IF(COUNTIFS(INDEX($A$3:$AD$1450,0,$AG$4),INDEX($A1450:$AD1450,$AG$4),INDEX($A$3:$AD$1450,0,$AG$6),"NON-COMPLIED")=1,1,0)))))</f>
        <v>0</v>
      </c>
    </row>
    <row r="1451" customFormat="false" ht="15" hidden="false" customHeight="false" outlineLevel="0" collapsed="false">
      <c r="AH1451" s="21" t="n">
        <f aca="false">IF($AG$4=0,0,IF($AG$6=0,0,IF(INDEX($A1451:$AD1451,$AG$4)="",0,IF(INDEX($A1451:$AD1451,$AG$6)&lt;&gt;"NON-COMPLIED",0,IF(COUNTIFS(INDEX($A$3:$AD$1451,0,$AG$4),INDEX($A1451:$AD1451,$AG$4),INDEX($A$3:$AD$1451,0,$AG$6),"NON-COMPLIED")=1,1,0)))))</f>
        <v>0</v>
      </c>
    </row>
    <row r="1452" customFormat="false" ht="15" hidden="false" customHeight="false" outlineLevel="0" collapsed="false">
      <c r="AH1452" s="21" t="n">
        <f aca="false">IF($AG$4=0,0,IF($AG$6=0,0,IF(INDEX($A1452:$AD1452,$AG$4)="",0,IF(INDEX($A1452:$AD1452,$AG$6)&lt;&gt;"NON-COMPLIED",0,IF(COUNTIFS(INDEX($A$3:$AD$1452,0,$AG$4),INDEX($A1452:$AD1452,$AG$4),INDEX($A$3:$AD$1452,0,$AG$6),"NON-COMPLIED")=1,1,0)))))</f>
        <v>0</v>
      </c>
    </row>
    <row r="1453" customFormat="false" ht="15" hidden="false" customHeight="false" outlineLevel="0" collapsed="false">
      <c r="AH1453" s="21" t="n">
        <f aca="false">IF($AG$4=0,0,IF($AG$6=0,0,IF(INDEX($A1453:$AD1453,$AG$4)="",0,IF(INDEX($A1453:$AD1453,$AG$6)&lt;&gt;"NON-COMPLIED",0,IF(COUNTIFS(INDEX($A$3:$AD$1453,0,$AG$4),INDEX($A1453:$AD1453,$AG$4),INDEX($A$3:$AD$1453,0,$AG$6),"NON-COMPLIED")=1,1,0)))))</f>
        <v>0</v>
      </c>
    </row>
    <row r="1454" customFormat="false" ht="15" hidden="false" customHeight="false" outlineLevel="0" collapsed="false">
      <c r="AH1454" s="21" t="n">
        <f aca="false">IF($AG$4=0,0,IF($AG$6=0,0,IF(INDEX($A1454:$AD1454,$AG$4)="",0,IF(INDEX($A1454:$AD1454,$AG$6)&lt;&gt;"NON-COMPLIED",0,IF(COUNTIFS(INDEX($A$3:$AD$1454,0,$AG$4),INDEX($A1454:$AD1454,$AG$4),INDEX($A$3:$AD$1454,0,$AG$6),"NON-COMPLIED")=1,1,0)))))</f>
        <v>0</v>
      </c>
    </row>
    <row r="1455" customFormat="false" ht="15" hidden="false" customHeight="false" outlineLevel="0" collapsed="false">
      <c r="AH1455" s="21" t="n">
        <f aca="false">IF($AG$4=0,0,IF($AG$6=0,0,IF(INDEX($A1455:$AD1455,$AG$4)="",0,IF(INDEX($A1455:$AD1455,$AG$6)&lt;&gt;"NON-COMPLIED",0,IF(COUNTIFS(INDEX($A$3:$AD$1455,0,$AG$4),INDEX($A1455:$AD1455,$AG$4),INDEX($A$3:$AD$1455,0,$AG$6),"NON-COMPLIED")=1,1,0)))))</f>
        <v>0</v>
      </c>
    </row>
    <row r="1456" customFormat="false" ht="15" hidden="false" customHeight="false" outlineLevel="0" collapsed="false">
      <c r="AH1456" s="21" t="n">
        <f aca="false">IF($AG$4=0,0,IF($AG$6=0,0,IF(INDEX($A1456:$AD1456,$AG$4)="",0,IF(INDEX($A1456:$AD1456,$AG$6)&lt;&gt;"NON-COMPLIED",0,IF(COUNTIFS(INDEX($A$3:$AD$1456,0,$AG$4),INDEX($A1456:$AD1456,$AG$4),INDEX($A$3:$AD$1456,0,$AG$6),"NON-COMPLIED")=1,1,0)))))</f>
        <v>0</v>
      </c>
    </row>
    <row r="1457" customFormat="false" ht="15" hidden="false" customHeight="false" outlineLevel="0" collapsed="false">
      <c r="AH1457" s="21" t="n">
        <f aca="false">IF($AG$4=0,0,IF($AG$6=0,0,IF(INDEX($A1457:$AD1457,$AG$4)="",0,IF(INDEX($A1457:$AD1457,$AG$6)&lt;&gt;"NON-COMPLIED",0,IF(COUNTIFS(INDEX($A$3:$AD$1457,0,$AG$4),INDEX($A1457:$AD1457,$AG$4),INDEX($A$3:$AD$1457,0,$AG$6),"NON-COMPLIED")=1,1,0)))))</f>
        <v>0</v>
      </c>
    </row>
    <row r="1458" customFormat="false" ht="15" hidden="false" customHeight="false" outlineLevel="0" collapsed="false">
      <c r="AH1458" s="21" t="n">
        <f aca="false">IF($AG$4=0,0,IF($AG$6=0,0,IF(INDEX($A1458:$AD1458,$AG$4)="",0,IF(INDEX($A1458:$AD1458,$AG$6)&lt;&gt;"NON-COMPLIED",0,IF(COUNTIFS(INDEX($A$3:$AD$1458,0,$AG$4),INDEX($A1458:$AD1458,$AG$4),INDEX($A$3:$AD$1458,0,$AG$6),"NON-COMPLIED")=1,1,0)))))</f>
        <v>0</v>
      </c>
    </row>
    <row r="1459" customFormat="false" ht="15" hidden="false" customHeight="false" outlineLevel="0" collapsed="false">
      <c r="AH1459" s="21" t="n">
        <f aca="false">IF($AG$4=0,0,IF($AG$6=0,0,IF(INDEX($A1459:$AD1459,$AG$4)="",0,IF(INDEX($A1459:$AD1459,$AG$6)&lt;&gt;"NON-COMPLIED",0,IF(COUNTIFS(INDEX($A$3:$AD$1459,0,$AG$4),INDEX($A1459:$AD1459,$AG$4),INDEX($A$3:$AD$1459,0,$AG$6),"NON-COMPLIED")=1,1,0)))))</f>
        <v>0</v>
      </c>
    </row>
    <row r="1460" customFormat="false" ht="15" hidden="false" customHeight="false" outlineLevel="0" collapsed="false">
      <c r="AH1460" s="21" t="n">
        <f aca="false">IF($AG$4=0,0,IF($AG$6=0,0,IF(INDEX($A1460:$AD1460,$AG$4)="",0,IF(INDEX($A1460:$AD1460,$AG$6)&lt;&gt;"NON-COMPLIED",0,IF(COUNTIFS(INDEX($A$3:$AD$1460,0,$AG$4),INDEX($A1460:$AD1460,$AG$4),INDEX($A$3:$AD$1460,0,$AG$6),"NON-COMPLIED")=1,1,0)))))</f>
        <v>0</v>
      </c>
    </row>
    <row r="1461" customFormat="false" ht="15" hidden="false" customHeight="false" outlineLevel="0" collapsed="false">
      <c r="AH1461" s="21" t="n">
        <f aca="false">IF($AG$4=0,0,IF($AG$6=0,0,IF(INDEX($A1461:$AD1461,$AG$4)="",0,IF(INDEX($A1461:$AD1461,$AG$6)&lt;&gt;"NON-COMPLIED",0,IF(COUNTIFS(INDEX($A$3:$AD$1461,0,$AG$4),INDEX($A1461:$AD1461,$AG$4),INDEX($A$3:$AD$1461,0,$AG$6),"NON-COMPLIED")=1,1,0)))))</f>
        <v>0</v>
      </c>
    </row>
    <row r="1462" customFormat="false" ht="15" hidden="false" customHeight="false" outlineLevel="0" collapsed="false">
      <c r="AH1462" s="21" t="n">
        <f aca="false">IF($AG$4=0,0,IF($AG$6=0,0,IF(INDEX($A1462:$AD1462,$AG$4)="",0,IF(INDEX($A1462:$AD1462,$AG$6)&lt;&gt;"NON-COMPLIED",0,IF(COUNTIFS(INDEX($A$3:$AD$1462,0,$AG$4),INDEX($A1462:$AD1462,$AG$4),INDEX($A$3:$AD$1462,0,$AG$6),"NON-COMPLIED")=1,1,0)))))</f>
        <v>0</v>
      </c>
    </row>
    <row r="1463" customFormat="false" ht="15" hidden="false" customHeight="false" outlineLevel="0" collapsed="false">
      <c r="AH1463" s="21" t="n">
        <f aca="false">IF($AG$4=0,0,IF($AG$6=0,0,IF(INDEX($A1463:$AD1463,$AG$4)="",0,IF(INDEX($A1463:$AD1463,$AG$6)&lt;&gt;"NON-COMPLIED",0,IF(COUNTIFS(INDEX($A$3:$AD$1463,0,$AG$4),INDEX($A1463:$AD1463,$AG$4),INDEX($A$3:$AD$1463,0,$AG$6),"NON-COMPLIED")=1,1,0)))))</f>
        <v>0</v>
      </c>
    </row>
    <row r="1464" customFormat="false" ht="15" hidden="false" customHeight="false" outlineLevel="0" collapsed="false">
      <c r="AH1464" s="21" t="n">
        <f aca="false">IF($AG$4=0,0,IF($AG$6=0,0,IF(INDEX($A1464:$AD1464,$AG$4)="",0,IF(INDEX($A1464:$AD1464,$AG$6)&lt;&gt;"NON-COMPLIED",0,IF(COUNTIFS(INDEX($A$3:$AD$1464,0,$AG$4),INDEX($A1464:$AD1464,$AG$4),INDEX($A$3:$AD$1464,0,$AG$6),"NON-COMPLIED")=1,1,0)))))</f>
        <v>0</v>
      </c>
    </row>
    <row r="1465" customFormat="false" ht="15" hidden="false" customHeight="false" outlineLevel="0" collapsed="false">
      <c r="AH1465" s="21" t="n">
        <f aca="false">IF($AG$4=0,0,IF($AG$6=0,0,IF(INDEX($A1465:$AD1465,$AG$4)="",0,IF(INDEX($A1465:$AD1465,$AG$6)&lt;&gt;"NON-COMPLIED",0,IF(COUNTIFS(INDEX($A$3:$AD$1465,0,$AG$4),INDEX($A1465:$AD1465,$AG$4),INDEX($A$3:$AD$1465,0,$AG$6),"NON-COMPLIED")=1,1,0)))))</f>
        <v>0</v>
      </c>
    </row>
    <row r="1466" customFormat="false" ht="15" hidden="false" customHeight="false" outlineLevel="0" collapsed="false">
      <c r="AH1466" s="21" t="n">
        <f aca="false">IF($AG$4=0,0,IF($AG$6=0,0,IF(INDEX($A1466:$AD1466,$AG$4)="",0,IF(INDEX($A1466:$AD1466,$AG$6)&lt;&gt;"NON-COMPLIED",0,IF(COUNTIFS(INDEX($A$3:$AD$1466,0,$AG$4),INDEX($A1466:$AD1466,$AG$4),INDEX($A$3:$AD$1466,0,$AG$6),"NON-COMPLIED")=1,1,0)))))</f>
        <v>0</v>
      </c>
    </row>
    <row r="1467" customFormat="false" ht="15" hidden="false" customHeight="false" outlineLevel="0" collapsed="false">
      <c r="AH1467" s="21" t="n">
        <f aca="false">IF($AG$4=0,0,IF($AG$6=0,0,IF(INDEX($A1467:$AD1467,$AG$4)="",0,IF(INDEX($A1467:$AD1467,$AG$6)&lt;&gt;"NON-COMPLIED",0,IF(COUNTIFS(INDEX($A$3:$AD$1467,0,$AG$4),INDEX($A1467:$AD1467,$AG$4),INDEX($A$3:$AD$1467,0,$AG$6),"NON-COMPLIED")=1,1,0)))))</f>
        <v>0</v>
      </c>
    </row>
    <row r="1468" customFormat="false" ht="15" hidden="false" customHeight="false" outlineLevel="0" collapsed="false">
      <c r="AH1468" s="21" t="n">
        <f aca="false">IF($AG$4=0,0,IF($AG$6=0,0,IF(INDEX($A1468:$AD1468,$AG$4)="",0,IF(INDEX($A1468:$AD1468,$AG$6)&lt;&gt;"NON-COMPLIED",0,IF(COUNTIFS(INDEX($A$3:$AD$1468,0,$AG$4),INDEX($A1468:$AD1468,$AG$4),INDEX($A$3:$AD$1468,0,$AG$6),"NON-COMPLIED")=1,1,0)))))</f>
        <v>0</v>
      </c>
    </row>
    <row r="1469" customFormat="false" ht="15" hidden="false" customHeight="false" outlineLevel="0" collapsed="false">
      <c r="AH1469" s="21" t="n">
        <f aca="false">IF($AG$4=0,0,IF($AG$6=0,0,IF(INDEX($A1469:$AD1469,$AG$4)="",0,IF(INDEX($A1469:$AD1469,$AG$6)&lt;&gt;"NON-COMPLIED",0,IF(COUNTIFS(INDEX($A$3:$AD$1469,0,$AG$4),INDEX($A1469:$AD1469,$AG$4),INDEX($A$3:$AD$1469,0,$AG$6),"NON-COMPLIED")=1,1,0)))))</f>
        <v>0</v>
      </c>
    </row>
    <row r="1470" customFormat="false" ht="15" hidden="false" customHeight="false" outlineLevel="0" collapsed="false">
      <c r="AH1470" s="21" t="n">
        <f aca="false">IF($AG$4=0,0,IF($AG$6=0,0,IF(INDEX($A1470:$AD1470,$AG$4)="",0,IF(INDEX($A1470:$AD1470,$AG$6)&lt;&gt;"NON-COMPLIED",0,IF(COUNTIFS(INDEX($A$3:$AD$1470,0,$AG$4),INDEX($A1470:$AD1470,$AG$4),INDEX($A$3:$AD$1470,0,$AG$6),"NON-COMPLIED")=1,1,0)))))</f>
        <v>0</v>
      </c>
    </row>
    <row r="1471" customFormat="false" ht="15" hidden="false" customHeight="false" outlineLevel="0" collapsed="false">
      <c r="AH1471" s="21" t="n">
        <f aca="false">IF($AG$4=0,0,IF($AG$6=0,0,IF(INDEX($A1471:$AD1471,$AG$4)="",0,IF(INDEX($A1471:$AD1471,$AG$6)&lt;&gt;"NON-COMPLIED",0,IF(COUNTIFS(INDEX($A$3:$AD$1471,0,$AG$4),INDEX($A1471:$AD1471,$AG$4),INDEX($A$3:$AD$1471,0,$AG$6),"NON-COMPLIED")=1,1,0)))))</f>
        <v>0</v>
      </c>
    </row>
    <row r="1472" customFormat="false" ht="15" hidden="false" customHeight="false" outlineLevel="0" collapsed="false">
      <c r="AH1472" s="21" t="n">
        <f aca="false">IF($AG$4=0,0,IF($AG$6=0,0,IF(INDEX($A1472:$AD1472,$AG$4)="",0,IF(INDEX($A1472:$AD1472,$AG$6)&lt;&gt;"NON-COMPLIED",0,IF(COUNTIFS(INDEX($A$3:$AD$1472,0,$AG$4),INDEX($A1472:$AD1472,$AG$4),INDEX($A$3:$AD$1472,0,$AG$6),"NON-COMPLIED")=1,1,0)))))</f>
        <v>0</v>
      </c>
    </row>
    <row r="1473" customFormat="false" ht="15" hidden="false" customHeight="false" outlineLevel="0" collapsed="false">
      <c r="AH1473" s="21" t="n">
        <f aca="false">IF($AG$4=0,0,IF($AG$6=0,0,IF(INDEX($A1473:$AD1473,$AG$4)="",0,IF(INDEX($A1473:$AD1473,$AG$6)&lt;&gt;"NON-COMPLIED",0,IF(COUNTIFS(INDEX($A$3:$AD$1473,0,$AG$4),INDEX($A1473:$AD1473,$AG$4),INDEX($A$3:$AD$1473,0,$AG$6),"NON-COMPLIED")=1,1,0)))))</f>
        <v>0</v>
      </c>
    </row>
    <row r="1474" customFormat="false" ht="15" hidden="false" customHeight="false" outlineLevel="0" collapsed="false">
      <c r="AH1474" s="21" t="n">
        <f aca="false">IF($AG$4=0,0,IF($AG$6=0,0,IF(INDEX($A1474:$AD1474,$AG$4)="",0,IF(INDEX($A1474:$AD1474,$AG$6)&lt;&gt;"NON-COMPLIED",0,IF(COUNTIFS(INDEX($A$3:$AD$1474,0,$AG$4),INDEX($A1474:$AD1474,$AG$4),INDEX($A$3:$AD$1474,0,$AG$6),"NON-COMPLIED")=1,1,0)))))</f>
        <v>0</v>
      </c>
    </row>
    <row r="1475" customFormat="false" ht="15" hidden="false" customHeight="false" outlineLevel="0" collapsed="false">
      <c r="AH1475" s="21" t="n">
        <f aca="false">IF($AG$4=0,0,IF($AG$6=0,0,IF(INDEX($A1475:$AD1475,$AG$4)="",0,IF(INDEX($A1475:$AD1475,$AG$6)&lt;&gt;"NON-COMPLIED",0,IF(COUNTIFS(INDEX($A$3:$AD$1475,0,$AG$4),INDEX($A1475:$AD1475,$AG$4),INDEX($A$3:$AD$1475,0,$AG$6),"NON-COMPLIED")=1,1,0)))))</f>
        <v>0</v>
      </c>
    </row>
    <row r="1476" customFormat="false" ht="15" hidden="false" customHeight="false" outlineLevel="0" collapsed="false">
      <c r="AH1476" s="21" t="n">
        <f aca="false">IF($AG$4=0,0,IF($AG$6=0,0,IF(INDEX($A1476:$AD1476,$AG$4)="",0,IF(INDEX($A1476:$AD1476,$AG$6)&lt;&gt;"NON-COMPLIED",0,IF(COUNTIFS(INDEX($A$3:$AD$1476,0,$AG$4),INDEX($A1476:$AD1476,$AG$4),INDEX($A$3:$AD$1476,0,$AG$6),"NON-COMPLIED")=1,1,0)))))</f>
        <v>0</v>
      </c>
    </row>
    <row r="1477" customFormat="false" ht="15" hidden="false" customHeight="false" outlineLevel="0" collapsed="false">
      <c r="AH1477" s="21" t="n">
        <f aca="false">IF($AG$4=0,0,IF($AG$6=0,0,IF(INDEX($A1477:$AD1477,$AG$4)="",0,IF(INDEX($A1477:$AD1477,$AG$6)&lt;&gt;"NON-COMPLIED",0,IF(COUNTIFS(INDEX($A$3:$AD$1477,0,$AG$4),INDEX($A1477:$AD1477,$AG$4),INDEX($A$3:$AD$1477,0,$AG$6),"NON-COMPLIED")=1,1,0)))))</f>
        <v>0</v>
      </c>
    </row>
    <row r="1478" customFormat="false" ht="15" hidden="false" customHeight="false" outlineLevel="0" collapsed="false">
      <c r="AH1478" s="21" t="n">
        <f aca="false">IF($AG$4=0,0,IF($AG$6=0,0,IF(INDEX($A1478:$AD1478,$AG$4)="",0,IF(INDEX($A1478:$AD1478,$AG$6)&lt;&gt;"NON-COMPLIED",0,IF(COUNTIFS(INDEX($A$3:$AD$1478,0,$AG$4),INDEX($A1478:$AD1478,$AG$4),INDEX($A$3:$AD$1478,0,$AG$6),"NON-COMPLIED")=1,1,0)))))</f>
        <v>0</v>
      </c>
    </row>
    <row r="1479" customFormat="false" ht="15" hidden="false" customHeight="false" outlineLevel="0" collapsed="false">
      <c r="AH1479" s="21" t="n">
        <f aca="false">IF($AG$4=0,0,IF($AG$6=0,0,IF(INDEX($A1479:$AD1479,$AG$4)="",0,IF(INDEX($A1479:$AD1479,$AG$6)&lt;&gt;"NON-COMPLIED",0,IF(COUNTIFS(INDEX($A$3:$AD$1479,0,$AG$4),INDEX($A1479:$AD1479,$AG$4),INDEX($A$3:$AD$1479,0,$AG$6),"NON-COMPLIED")=1,1,0)))))</f>
        <v>0</v>
      </c>
    </row>
    <row r="1480" customFormat="false" ht="15" hidden="false" customHeight="false" outlineLevel="0" collapsed="false">
      <c r="AH1480" s="21" t="n">
        <f aca="false">IF($AG$4=0,0,IF($AG$6=0,0,IF(INDEX($A1480:$AD1480,$AG$4)="",0,IF(INDEX($A1480:$AD1480,$AG$6)&lt;&gt;"NON-COMPLIED",0,IF(COUNTIFS(INDEX($A$3:$AD$1480,0,$AG$4),INDEX($A1480:$AD1480,$AG$4),INDEX($A$3:$AD$1480,0,$AG$6),"NON-COMPLIED")=1,1,0)))))</f>
        <v>0</v>
      </c>
    </row>
    <row r="1481" customFormat="false" ht="15" hidden="false" customHeight="false" outlineLevel="0" collapsed="false">
      <c r="AH1481" s="21" t="n">
        <f aca="false">IF($AG$4=0,0,IF($AG$6=0,0,IF(INDEX($A1481:$AD1481,$AG$4)="",0,IF(INDEX($A1481:$AD1481,$AG$6)&lt;&gt;"NON-COMPLIED",0,IF(COUNTIFS(INDEX($A$3:$AD$1481,0,$AG$4),INDEX($A1481:$AD1481,$AG$4),INDEX($A$3:$AD$1481,0,$AG$6),"NON-COMPLIED")=1,1,0)))))</f>
        <v>0</v>
      </c>
    </row>
    <row r="1482" customFormat="false" ht="15" hidden="false" customHeight="false" outlineLevel="0" collapsed="false">
      <c r="AH1482" s="21" t="n">
        <f aca="false">IF($AG$4=0,0,IF($AG$6=0,0,IF(INDEX($A1482:$AD1482,$AG$4)="",0,IF(INDEX($A1482:$AD1482,$AG$6)&lt;&gt;"NON-COMPLIED",0,IF(COUNTIFS(INDEX($A$3:$AD$1482,0,$AG$4),INDEX($A1482:$AD1482,$AG$4),INDEX($A$3:$AD$1482,0,$AG$6),"NON-COMPLIED")=1,1,0)))))</f>
        <v>0</v>
      </c>
    </row>
    <row r="1483" customFormat="false" ht="15" hidden="false" customHeight="false" outlineLevel="0" collapsed="false">
      <c r="AH1483" s="21" t="n">
        <f aca="false">IF($AG$4=0,0,IF($AG$6=0,0,IF(INDEX($A1483:$AD1483,$AG$4)="",0,IF(INDEX($A1483:$AD1483,$AG$6)&lt;&gt;"NON-COMPLIED",0,IF(COUNTIFS(INDEX($A$3:$AD$1483,0,$AG$4),INDEX($A1483:$AD1483,$AG$4),INDEX($A$3:$AD$1483,0,$AG$6),"NON-COMPLIED")=1,1,0)))))</f>
        <v>0</v>
      </c>
    </row>
    <row r="1484" customFormat="false" ht="15" hidden="false" customHeight="false" outlineLevel="0" collapsed="false">
      <c r="AH1484" s="21" t="n">
        <f aca="false">IF($AG$4=0,0,IF($AG$6=0,0,IF(INDEX($A1484:$AD1484,$AG$4)="",0,IF(INDEX($A1484:$AD1484,$AG$6)&lt;&gt;"NON-COMPLIED",0,IF(COUNTIFS(INDEX($A$3:$AD$1484,0,$AG$4),INDEX($A1484:$AD1484,$AG$4),INDEX($A$3:$AD$1484,0,$AG$6),"NON-COMPLIED")=1,1,0)))))</f>
        <v>0</v>
      </c>
    </row>
    <row r="1485" customFormat="false" ht="15" hidden="false" customHeight="false" outlineLevel="0" collapsed="false">
      <c r="AH1485" s="21" t="n">
        <f aca="false">IF($AG$4=0,0,IF($AG$6=0,0,IF(INDEX($A1485:$AD1485,$AG$4)="",0,IF(INDEX($A1485:$AD1485,$AG$6)&lt;&gt;"NON-COMPLIED",0,IF(COUNTIFS(INDEX($A$3:$AD$1485,0,$AG$4),INDEX($A1485:$AD1485,$AG$4),INDEX($A$3:$AD$1485,0,$AG$6),"NON-COMPLIED")=1,1,0)))))</f>
        <v>0</v>
      </c>
    </row>
    <row r="1486" customFormat="false" ht="15" hidden="false" customHeight="false" outlineLevel="0" collapsed="false">
      <c r="AH1486" s="21" t="n">
        <f aca="false">IF($AG$4=0,0,IF($AG$6=0,0,IF(INDEX($A1486:$AD1486,$AG$4)="",0,IF(INDEX($A1486:$AD1486,$AG$6)&lt;&gt;"NON-COMPLIED",0,IF(COUNTIFS(INDEX($A$3:$AD$1486,0,$AG$4),INDEX($A1486:$AD1486,$AG$4),INDEX($A$3:$AD$1486,0,$AG$6),"NON-COMPLIED")=1,1,0)))))</f>
        <v>0</v>
      </c>
    </row>
    <row r="1487" customFormat="false" ht="15" hidden="false" customHeight="false" outlineLevel="0" collapsed="false">
      <c r="AH1487" s="21" t="n">
        <f aca="false">IF($AG$4=0,0,IF($AG$6=0,0,IF(INDEX($A1487:$AD1487,$AG$4)="",0,IF(INDEX($A1487:$AD1487,$AG$6)&lt;&gt;"NON-COMPLIED",0,IF(COUNTIFS(INDEX($A$3:$AD$1487,0,$AG$4),INDEX($A1487:$AD1487,$AG$4),INDEX($A$3:$AD$1487,0,$AG$6),"NON-COMPLIED")=1,1,0)))))</f>
        <v>0</v>
      </c>
    </row>
    <row r="1488" customFormat="false" ht="15" hidden="false" customHeight="false" outlineLevel="0" collapsed="false">
      <c r="AH1488" s="21" t="n">
        <f aca="false">IF($AG$4=0,0,IF($AG$6=0,0,IF(INDEX($A1488:$AD1488,$AG$4)="",0,IF(INDEX($A1488:$AD1488,$AG$6)&lt;&gt;"NON-COMPLIED",0,IF(COUNTIFS(INDEX($A$3:$AD$1488,0,$AG$4),INDEX($A1488:$AD1488,$AG$4),INDEX($A$3:$AD$1488,0,$AG$6),"NON-COMPLIED")=1,1,0)))))</f>
        <v>0</v>
      </c>
    </row>
    <row r="1489" customFormat="false" ht="15" hidden="false" customHeight="false" outlineLevel="0" collapsed="false">
      <c r="AH1489" s="21" t="n">
        <f aca="false">IF($AG$4=0,0,IF($AG$6=0,0,IF(INDEX($A1489:$AD1489,$AG$4)="",0,IF(INDEX($A1489:$AD1489,$AG$6)&lt;&gt;"NON-COMPLIED",0,IF(COUNTIFS(INDEX($A$3:$AD$1489,0,$AG$4),INDEX($A1489:$AD1489,$AG$4),INDEX($A$3:$AD$1489,0,$AG$6),"NON-COMPLIED")=1,1,0)))))</f>
        <v>0</v>
      </c>
    </row>
    <row r="1490" customFormat="false" ht="15" hidden="false" customHeight="false" outlineLevel="0" collapsed="false">
      <c r="AH1490" s="21" t="n">
        <f aca="false">IF($AG$4=0,0,IF($AG$6=0,0,IF(INDEX($A1490:$AD1490,$AG$4)="",0,IF(INDEX($A1490:$AD1490,$AG$6)&lt;&gt;"NON-COMPLIED",0,IF(COUNTIFS(INDEX($A$3:$AD$1490,0,$AG$4),INDEX($A1490:$AD1490,$AG$4),INDEX($A$3:$AD$1490,0,$AG$6),"NON-COMPLIED")=1,1,0)))))</f>
        <v>0</v>
      </c>
    </row>
    <row r="1491" customFormat="false" ht="15" hidden="false" customHeight="false" outlineLevel="0" collapsed="false">
      <c r="AH1491" s="21" t="n">
        <f aca="false">IF($AG$4=0,0,IF($AG$6=0,0,IF(INDEX($A1491:$AD1491,$AG$4)="",0,IF(INDEX($A1491:$AD1491,$AG$6)&lt;&gt;"NON-COMPLIED",0,IF(COUNTIFS(INDEX($A$3:$AD$1491,0,$AG$4),INDEX($A1491:$AD1491,$AG$4),INDEX($A$3:$AD$1491,0,$AG$6),"NON-COMPLIED")=1,1,0)))))</f>
        <v>0</v>
      </c>
    </row>
    <row r="1492" customFormat="false" ht="15" hidden="false" customHeight="false" outlineLevel="0" collapsed="false">
      <c r="AH1492" s="21" t="n">
        <f aca="false">IF($AG$4=0,0,IF($AG$6=0,0,IF(INDEX($A1492:$AD1492,$AG$4)="",0,IF(INDEX($A1492:$AD1492,$AG$6)&lt;&gt;"NON-COMPLIED",0,IF(COUNTIFS(INDEX($A$3:$AD$1492,0,$AG$4),INDEX($A1492:$AD1492,$AG$4),INDEX($A$3:$AD$1492,0,$AG$6),"NON-COMPLIED")=1,1,0)))))</f>
        <v>0</v>
      </c>
    </row>
    <row r="1493" customFormat="false" ht="15" hidden="false" customHeight="false" outlineLevel="0" collapsed="false">
      <c r="AH1493" s="21" t="n">
        <f aca="false">IF($AG$4=0,0,IF($AG$6=0,0,IF(INDEX($A1493:$AD1493,$AG$4)="",0,IF(INDEX($A1493:$AD1493,$AG$6)&lt;&gt;"NON-COMPLIED",0,IF(COUNTIFS(INDEX($A$3:$AD$1493,0,$AG$4),INDEX($A1493:$AD1493,$AG$4),INDEX($A$3:$AD$1493,0,$AG$6),"NON-COMPLIED")=1,1,0)))))</f>
        <v>0</v>
      </c>
    </row>
    <row r="1494" customFormat="false" ht="15" hidden="false" customHeight="false" outlineLevel="0" collapsed="false">
      <c r="AH1494" s="21" t="n">
        <f aca="false">IF($AG$4=0,0,IF($AG$6=0,0,IF(INDEX($A1494:$AD1494,$AG$4)="",0,IF(INDEX($A1494:$AD1494,$AG$6)&lt;&gt;"NON-COMPLIED",0,IF(COUNTIFS(INDEX($A$3:$AD$1494,0,$AG$4),INDEX($A1494:$AD1494,$AG$4),INDEX($A$3:$AD$1494,0,$AG$6),"NON-COMPLIED")=1,1,0)))))</f>
        <v>0</v>
      </c>
    </row>
    <row r="1495" customFormat="false" ht="15" hidden="false" customHeight="false" outlineLevel="0" collapsed="false">
      <c r="AH1495" s="21" t="n">
        <f aca="false">IF($AG$4=0,0,IF($AG$6=0,0,IF(INDEX($A1495:$AD1495,$AG$4)="",0,IF(INDEX($A1495:$AD1495,$AG$6)&lt;&gt;"NON-COMPLIED",0,IF(COUNTIFS(INDEX($A$3:$AD$1495,0,$AG$4),INDEX($A1495:$AD1495,$AG$4),INDEX($A$3:$AD$1495,0,$AG$6),"NON-COMPLIED")=1,1,0)))))</f>
        <v>0</v>
      </c>
    </row>
    <row r="1496" customFormat="false" ht="15" hidden="false" customHeight="false" outlineLevel="0" collapsed="false">
      <c r="AH1496" s="21" t="n">
        <f aca="false">IF($AG$4=0,0,IF($AG$6=0,0,IF(INDEX($A1496:$AD1496,$AG$4)="",0,IF(INDEX($A1496:$AD1496,$AG$6)&lt;&gt;"NON-COMPLIED",0,IF(COUNTIFS(INDEX($A$3:$AD$1496,0,$AG$4),INDEX($A1496:$AD1496,$AG$4),INDEX($A$3:$AD$1496,0,$AG$6),"NON-COMPLIED")=1,1,0)))))</f>
        <v>0</v>
      </c>
    </row>
    <row r="1497" customFormat="false" ht="15" hidden="false" customHeight="false" outlineLevel="0" collapsed="false">
      <c r="AH1497" s="21" t="n">
        <f aca="false">IF($AG$4=0,0,IF($AG$6=0,0,IF(INDEX($A1497:$AD1497,$AG$4)="",0,IF(INDEX($A1497:$AD1497,$AG$6)&lt;&gt;"NON-COMPLIED",0,IF(COUNTIFS(INDEX($A$3:$AD$1497,0,$AG$4),INDEX($A1497:$AD1497,$AG$4),INDEX($A$3:$AD$1497,0,$AG$6),"NON-COMPLIED")=1,1,0)))))</f>
        <v>0</v>
      </c>
    </row>
    <row r="1498" customFormat="false" ht="15" hidden="false" customHeight="false" outlineLevel="0" collapsed="false">
      <c r="AH1498" s="21" t="n">
        <f aca="false">IF($AG$4=0,0,IF($AG$6=0,0,IF(INDEX($A1498:$AD1498,$AG$4)="",0,IF(INDEX($A1498:$AD1498,$AG$6)&lt;&gt;"NON-COMPLIED",0,IF(COUNTIFS(INDEX($A$3:$AD$1498,0,$AG$4),INDEX($A1498:$AD1498,$AG$4),INDEX($A$3:$AD$1498,0,$AG$6),"NON-COMPLIED")=1,1,0)))))</f>
        <v>0</v>
      </c>
    </row>
    <row r="1499" customFormat="false" ht="15" hidden="false" customHeight="false" outlineLevel="0" collapsed="false">
      <c r="AH1499" s="21" t="n">
        <f aca="false">IF($AG$4=0,0,IF($AG$6=0,0,IF(INDEX($A1499:$AD1499,$AG$4)="",0,IF(INDEX($A1499:$AD1499,$AG$6)&lt;&gt;"NON-COMPLIED",0,IF(COUNTIFS(INDEX($A$3:$AD$1499,0,$AG$4),INDEX($A1499:$AD1499,$AG$4),INDEX($A$3:$AD$1499,0,$AG$6),"NON-COMPLIED")=1,1,0)))))</f>
        <v>0</v>
      </c>
    </row>
    <row r="1500" customFormat="false" ht="15" hidden="false" customHeight="false" outlineLevel="0" collapsed="false">
      <c r="AH1500" s="21" t="n">
        <f aca="false">IF($AG$4=0,0,IF($AG$6=0,0,IF(INDEX($A1500:$AD1500,$AG$4)="",0,IF(INDEX($A1500:$AD1500,$AG$6)&lt;&gt;"NON-COMPLIED",0,IF(COUNTIFS(INDEX($A$3:$AD$1500,0,$AG$4),INDEX($A1500:$AD1500,$AG$4),INDEX($A$3:$AD$1500,0,$AG$6),"NON-COMPLIED")=1,1,0)))))</f>
        <v>0</v>
      </c>
    </row>
    <row r="1501" customFormat="false" ht="15" hidden="false" customHeight="false" outlineLevel="0" collapsed="false">
      <c r="AH1501" s="21" t="n">
        <f aca="false">IF($AG$4=0,0,IF($AG$6=0,0,IF(INDEX($A1501:$AD1501,$AG$4)="",0,IF(INDEX($A1501:$AD1501,$AG$6)&lt;&gt;"NON-COMPLIED",0,IF(COUNTIFS(INDEX($A$3:$AD$1501,0,$AG$4),INDEX($A1501:$AD1501,$AG$4),INDEX($A$3:$AD$1501,0,$AG$6),"NON-COMPLIED")=1,1,0)))))</f>
        <v>0</v>
      </c>
    </row>
    <row r="1502" customFormat="false" ht="15" hidden="false" customHeight="false" outlineLevel="0" collapsed="false">
      <c r="AH1502" s="21" t="n">
        <f aca="false">IF($AG$4=0,0,IF($AG$6=0,0,IF(INDEX($A1502:$AD1502,$AG$4)="",0,IF(INDEX($A1502:$AD1502,$AG$6)&lt;&gt;"NON-COMPLIED",0,IF(COUNTIFS(INDEX($A$3:$AD$1502,0,$AG$4),INDEX($A1502:$AD1502,$AG$4),INDEX($A$3:$AD$1502,0,$AG$6),"NON-COMPLIED")=1,1,0)))))</f>
        <v>0</v>
      </c>
    </row>
    <row r="1503" customFormat="false" ht="15" hidden="false" customHeight="false" outlineLevel="0" collapsed="false">
      <c r="AH1503" s="21" t="n">
        <f aca="false">IF($AG$4=0,0,IF($AG$6=0,0,IF(INDEX($A1503:$AD1503,$AG$4)="",0,IF(INDEX($A1503:$AD1503,$AG$6)&lt;&gt;"NON-COMPLIED",0,IF(COUNTIFS(INDEX($A$3:$AD$1503,0,$AG$4),INDEX($A1503:$AD1503,$AG$4),INDEX($A$3:$AD$1503,0,$AG$6),"NON-COMPLIED")=1,1,0)))))</f>
        <v>0</v>
      </c>
    </row>
    <row r="1504" customFormat="false" ht="15" hidden="false" customHeight="false" outlineLevel="0" collapsed="false">
      <c r="AH1504" s="21" t="n">
        <f aca="false">IF($AG$4=0,0,IF($AG$6=0,0,IF(INDEX($A1504:$AD1504,$AG$4)="",0,IF(INDEX($A1504:$AD1504,$AG$6)&lt;&gt;"NON-COMPLIED",0,IF(COUNTIFS(INDEX($A$3:$AD$1504,0,$AG$4),INDEX($A1504:$AD1504,$AG$4),INDEX($A$3:$AD$1504,0,$AG$6),"NON-COMPLIED")=1,1,0)))))</f>
        <v>0</v>
      </c>
    </row>
    <row r="1505" customFormat="false" ht="15" hidden="false" customHeight="false" outlineLevel="0" collapsed="false">
      <c r="AH1505" s="21" t="n">
        <f aca="false">IF($AG$4=0,0,IF($AG$6=0,0,IF(INDEX($A1505:$AD1505,$AG$4)="",0,IF(INDEX($A1505:$AD1505,$AG$6)&lt;&gt;"NON-COMPLIED",0,IF(COUNTIFS(INDEX($A$3:$AD$1505,0,$AG$4),INDEX($A1505:$AD1505,$AG$4),INDEX($A$3:$AD$1505,0,$AG$6),"NON-COMPLIED")=1,1,0)))))</f>
        <v>0</v>
      </c>
    </row>
    <row r="1506" customFormat="false" ht="15" hidden="false" customHeight="false" outlineLevel="0" collapsed="false">
      <c r="AH1506" s="21" t="n">
        <f aca="false">IF($AG$4=0,0,IF($AG$6=0,0,IF(INDEX($A1506:$AD1506,$AG$4)="",0,IF(INDEX($A1506:$AD1506,$AG$6)&lt;&gt;"NON-COMPLIED",0,IF(COUNTIFS(INDEX($A$3:$AD$1506,0,$AG$4),INDEX($A1506:$AD1506,$AG$4),INDEX($A$3:$AD$1506,0,$AG$6),"NON-COMPLIED")=1,1,0)))))</f>
        <v>0</v>
      </c>
    </row>
    <row r="1507" customFormat="false" ht="15" hidden="false" customHeight="false" outlineLevel="0" collapsed="false">
      <c r="AH1507" s="21" t="n">
        <f aca="false">IF($AG$4=0,0,IF($AG$6=0,0,IF(INDEX($A1507:$AD1507,$AG$4)="",0,IF(INDEX($A1507:$AD1507,$AG$6)&lt;&gt;"NON-COMPLIED",0,IF(COUNTIFS(INDEX($A$3:$AD$1507,0,$AG$4),INDEX($A1507:$AD1507,$AG$4),INDEX($A$3:$AD$1507,0,$AG$6),"NON-COMPLIED")=1,1,0)))))</f>
        <v>0</v>
      </c>
    </row>
    <row r="1508" customFormat="false" ht="15" hidden="false" customHeight="false" outlineLevel="0" collapsed="false">
      <c r="AH1508" s="21" t="n">
        <f aca="false">IF($AG$4=0,0,IF($AG$6=0,0,IF(INDEX($A1508:$AD1508,$AG$4)="",0,IF(INDEX($A1508:$AD1508,$AG$6)&lt;&gt;"NON-COMPLIED",0,IF(COUNTIFS(INDEX($A$3:$AD$1508,0,$AG$4),INDEX($A1508:$AD1508,$AG$4),INDEX($A$3:$AD$1508,0,$AG$6),"NON-COMPLIED")=1,1,0)))))</f>
        <v>0</v>
      </c>
    </row>
    <row r="1509" customFormat="false" ht="15" hidden="false" customHeight="false" outlineLevel="0" collapsed="false">
      <c r="AH1509" s="21" t="n">
        <f aca="false">IF($AG$4=0,0,IF($AG$6=0,0,IF(INDEX($A1509:$AD1509,$AG$4)="",0,IF(INDEX($A1509:$AD1509,$AG$6)&lt;&gt;"NON-COMPLIED",0,IF(COUNTIFS(INDEX($A$3:$AD$1509,0,$AG$4),INDEX($A1509:$AD1509,$AG$4),INDEX($A$3:$AD$1509,0,$AG$6),"NON-COMPLIED")=1,1,0)))))</f>
        <v>0</v>
      </c>
    </row>
    <row r="1510" customFormat="false" ht="15" hidden="false" customHeight="false" outlineLevel="0" collapsed="false">
      <c r="AH1510" s="21" t="n">
        <f aca="false">IF($AG$4=0,0,IF($AG$6=0,0,IF(INDEX($A1510:$AD1510,$AG$4)="",0,IF(INDEX($A1510:$AD1510,$AG$6)&lt;&gt;"NON-COMPLIED",0,IF(COUNTIFS(INDEX($A$3:$AD$1510,0,$AG$4),INDEX($A1510:$AD1510,$AG$4),INDEX($A$3:$AD$1510,0,$AG$6),"NON-COMPLIED")=1,1,0)))))</f>
        <v>0</v>
      </c>
    </row>
    <row r="1511" customFormat="false" ht="15" hidden="false" customHeight="false" outlineLevel="0" collapsed="false">
      <c r="AH1511" s="21" t="n">
        <f aca="false">IF($AG$4=0,0,IF($AG$6=0,0,IF(INDEX($A1511:$AD1511,$AG$4)="",0,IF(INDEX($A1511:$AD1511,$AG$6)&lt;&gt;"NON-COMPLIED",0,IF(COUNTIFS(INDEX($A$3:$AD$1511,0,$AG$4),INDEX($A1511:$AD1511,$AG$4),INDEX($A$3:$AD$1511,0,$AG$6),"NON-COMPLIED")=1,1,0)))))</f>
        <v>0</v>
      </c>
    </row>
    <row r="1512" customFormat="false" ht="15" hidden="false" customHeight="false" outlineLevel="0" collapsed="false">
      <c r="AH1512" s="21" t="n">
        <f aca="false">IF($AG$4=0,0,IF($AG$6=0,0,IF(INDEX($A1512:$AD1512,$AG$4)="",0,IF(INDEX($A1512:$AD1512,$AG$6)&lt;&gt;"NON-COMPLIED",0,IF(COUNTIFS(INDEX($A$3:$AD$1512,0,$AG$4),INDEX($A1512:$AD1512,$AG$4),INDEX($A$3:$AD$1512,0,$AG$6),"NON-COMPLIED")=1,1,0)))))</f>
        <v>0</v>
      </c>
    </row>
    <row r="1513" customFormat="false" ht="15" hidden="false" customHeight="false" outlineLevel="0" collapsed="false">
      <c r="AH1513" s="21" t="n">
        <f aca="false">IF($AG$4=0,0,IF($AG$6=0,0,IF(INDEX($A1513:$AD1513,$AG$4)="",0,IF(INDEX($A1513:$AD1513,$AG$6)&lt;&gt;"NON-COMPLIED",0,IF(COUNTIFS(INDEX($A$3:$AD$1513,0,$AG$4),INDEX($A1513:$AD1513,$AG$4),INDEX($A$3:$AD$1513,0,$AG$6),"NON-COMPLIED")=1,1,0)))))</f>
        <v>0</v>
      </c>
    </row>
    <row r="1514" customFormat="false" ht="15" hidden="false" customHeight="false" outlineLevel="0" collapsed="false">
      <c r="AH1514" s="21" t="n">
        <f aca="false">IF($AG$4=0,0,IF($AG$6=0,0,IF(INDEX($A1514:$AD1514,$AG$4)="",0,IF(INDEX($A1514:$AD1514,$AG$6)&lt;&gt;"NON-COMPLIED",0,IF(COUNTIFS(INDEX($A$3:$AD$1514,0,$AG$4),INDEX($A1514:$AD1514,$AG$4),INDEX($A$3:$AD$1514,0,$AG$6),"NON-COMPLIED")=1,1,0)))))</f>
        <v>0</v>
      </c>
    </row>
    <row r="1515" customFormat="false" ht="15" hidden="false" customHeight="false" outlineLevel="0" collapsed="false">
      <c r="AH1515" s="21" t="n">
        <f aca="false">IF($AG$4=0,0,IF($AG$6=0,0,IF(INDEX($A1515:$AD1515,$AG$4)="",0,IF(INDEX($A1515:$AD1515,$AG$6)&lt;&gt;"NON-COMPLIED",0,IF(COUNTIFS(INDEX($A$3:$AD$1515,0,$AG$4),INDEX($A1515:$AD1515,$AG$4),INDEX($A$3:$AD$1515,0,$AG$6),"NON-COMPLIED")=1,1,0)))))</f>
        <v>0</v>
      </c>
    </row>
    <row r="1516" customFormat="false" ht="15" hidden="false" customHeight="false" outlineLevel="0" collapsed="false">
      <c r="AH1516" s="21" t="n">
        <f aca="false">IF($AG$4=0,0,IF($AG$6=0,0,IF(INDEX($A1516:$AD1516,$AG$4)="",0,IF(INDEX($A1516:$AD1516,$AG$6)&lt;&gt;"NON-COMPLIED",0,IF(COUNTIFS(INDEX($A$3:$AD$1516,0,$AG$4),INDEX($A1516:$AD1516,$AG$4),INDEX($A$3:$AD$1516,0,$AG$6),"NON-COMPLIED")=1,1,0)))))</f>
        <v>0</v>
      </c>
    </row>
    <row r="1517" customFormat="false" ht="15" hidden="false" customHeight="false" outlineLevel="0" collapsed="false">
      <c r="AH1517" s="21" t="n">
        <f aca="false">IF($AG$4=0,0,IF($AG$6=0,0,IF(INDEX($A1517:$AD1517,$AG$4)="",0,IF(INDEX($A1517:$AD1517,$AG$6)&lt;&gt;"NON-COMPLIED",0,IF(COUNTIFS(INDEX($A$3:$AD$1517,0,$AG$4),INDEX($A1517:$AD1517,$AG$4),INDEX($A$3:$AD$1517,0,$AG$6),"NON-COMPLIED")=1,1,0)))))</f>
        <v>0</v>
      </c>
    </row>
    <row r="1518" customFormat="false" ht="15" hidden="false" customHeight="false" outlineLevel="0" collapsed="false">
      <c r="AH1518" s="21" t="n">
        <f aca="false">IF($AG$4=0,0,IF($AG$6=0,0,IF(INDEX($A1518:$AD1518,$AG$4)="",0,IF(INDEX($A1518:$AD1518,$AG$6)&lt;&gt;"NON-COMPLIED",0,IF(COUNTIFS(INDEX($A$3:$AD$1518,0,$AG$4),INDEX($A1518:$AD1518,$AG$4),INDEX($A$3:$AD$1518,0,$AG$6),"NON-COMPLIED")=1,1,0)))))</f>
        <v>0</v>
      </c>
    </row>
    <row r="1519" customFormat="false" ht="15" hidden="false" customHeight="false" outlineLevel="0" collapsed="false">
      <c r="AH1519" s="21" t="n">
        <f aca="false">IF($AG$4=0,0,IF($AG$6=0,0,IF(INDEX($A1519:$AD1519,$AG$4)="",0,IF(INDEX($A1519:$AD1519,$AG$6)&lt;&gt;"NON-COMPLIED",0,IF(COUNTIFS(INDEX($A$3:$AD$1519,0,$AG$4),INDEX($A1519:$AD1519,$AG$4),INDEX($A$3:$AD$1519,0,$AG$6),"NON-COMPLIED")=1,1,0)))))</f>
        <v>0</v>
      </c>
    </row>
    <row r="1520" customFormat="false" ht="15" hidden="false" customHeight="false" outlineLevel="0" collapsed="false">
      <c r="AH1520" s="21" t="n">
        <f aca="false">IF($AG$4=0,0,IF($AG$6=0,0,IF(INDEX($A1520:$AD1520,$AG$4)="",0,IF(INDEX($A1520:$AD1520,$AG$6)&lt;&gt;"NON-COMPLIED",0,IF(COUNTIFS(INDEX($A$3:$AD$1520,0,$AG$4),INDEX($A1520:$AD1520,$AG$4),INDEX($A$3:$AD$1520,0,$AG$6),"NON-COMPLIED")=1,1,0)))))</f>
        <v>0</v>
      </c>
    </row>
    <row r="1521" customFormat="false" ht="15" hidden="false" customHeight="false" outlineLevel="0" collapsed="false">
      <c r="AH1521" s="21" t="n">
        <f aca="false">IF($AG$4=0,0,IF($AG$6=0,0,IF(INDEX($A1521:$AD1521,$AG$4)="",0,IF(INDEX($A1521:$AD1521,$AG$6)&lt;&gt;"NON-COMPLIED",0,IF(COUNTIFS(INDEX($A$3:$AD$1521,0,$AG$4),INDEX($A1521:$AD1521,$AG$4),INDEX($A$3:$AD$1521,0,$AG$6),"NON-COMPLIED")=1,1,0)))))</f>
        <v>0</v>
      </c>
    </row>
    <row r="1522" customFormat="false" ht="15" hidden="false" customHeight="false" outlineLevel="0" collapsed="false">
      <c r="AH1522" s="21" t="n">
        <f aca="false">IF($AG$4=0,0,IF($AG$6=0,0,IF(INDEX($A1522:$AD1522,$AG$4)="",0,IF(INDEX($A1522:$AD1522,$AG$6)&lt;&gt;"NON-COMPLIED",0,IF(COUNTIFS(INDEX($A$3:$AD$1522,0,$AG$4),INDEX($A1522:$AD1522,$AG$4),INDEX($A$3:$AD$1522,0,$AG$6),"NON-COMPLIED")=1,1,0)))))</f>
        <v>0</v>
      </c>
    </row>
    <row r="1523" customFormat="false" ht="15" hidden="false" customHeight="false" outlineLevel="0" collapsed="false">
      <c r="AH1523" s="21" t="n">
        <f aca="false">IF($AG$4=0,0,IF($AG$6=0,0,IF(INDEX($A1523:$AD1523,$AG$4)="",0,IF(INDEX($A1523:$AD1523,$AG$6)&lt;&gt;"NON-COMPLIED",0,IF(COUNTIFS(INDEX($A$3:$AD$1523,0,$AG$4),INDEX($A1523:$AD1523,$AG$4),INDEX($A$3:$AD$1523,0,$AG$6),"NON-COMPLIED")=1,1,0)))))</f>
        <v>0</v>
      </c>
    </row>
    <row r="1524" customFormat="false" ht="15" hidden="false" customHeight="false" outlineLevel="0" collapsed="false">
      <c r="AH1524" s="21" t="n">
        <f aca="false">IF($AG$4=0,0,IF($AG$6=0,0,IF(INDEX($A1524:$AD1524,$AG$4)="",0,IF(INDEX($A1524:$AD1524,$AG$6)&lt;&gt;"NON-COMPLIED",0,IF(COUNTIFS(INDEX($A$3:$AD$1524,0,$AG$4),INDEX($A1524:$AD1524,$AG$4),INDEX($A$3:$AD$1524,0,$AG$6),"NON-COMPLIED")=1,1,0)))))</f>
        <v>0</v>
      </c>
    </row>
    <row r="1525" customFormat="false" ht="15" hidden="false" customHeight="false" outlineLevel="0" collapsed="false">
      <c r="AH1525" s="21" t="n">
        <f aca="false">IF($AG$4=0,0,IF($AG$6=0,0,IF(INDEX($A1525:$AD1525,$AG$4)="",0,IF(INDEX($A1525:$AD1525,$AG$6)&lt;&gt;"NON-COMPLIED",0,IF(COUNTIFS(INDEX($A$3:$AD$1525,0,$AG$4),INDEX($A1525:$AD1525,$AG$4),INDEX($A$3:$AD$1525,0,$AG$6),"NON-COMPLIED")=1,1,0)))))</f>
        <v>0</v>
      </c>
    </row>
    <row r="1526" customFormat="false" ht="15" hidden="false" customHeight="false" outlineLevel="0" collapsed="false">
      <c r="AH1526" s="21" t="n">
        <f aca="false">IF($AG$4=0,0,IF($AG$6=0,0,IF(INDEX($A1526:$AD1526,$AG$4)="",0,IF(INDEX($A1526:$AD1526,$AG$6)&lt;&gt;"NON-COMPLIED",0,IF(COUNTIFS(INDEX($A$3:$AD$1526,0,$AG$4),INDEX($A1526:$AD1526,$AG$4),INDEX($A$3:$AD$1526,0,$AG$6),"NON-COMPLIED")=1,1,0)))))</f>
        <v>0</v>
      </c>
    </row>
    <row r="1527" customFormat="false" ht="15" hidden="false" customHeight="false" outlineLevel="0" collapsed="false">
      <c r="AH1527" s="21" t="n">
        <f aca="false">IF($AG$4=0,0,IF($AG$6=0,0,IF(INDEX($A1527:$AD1527,$AG$4)="",0,IF(INDEX($A1527:$AD1527,$AG$6)&lt;&gt;"NON-COMPLIED",0,IF(COUNTIFS(INDEX($A$3:$AD$1527,0,$AG$4),INDEX($A1527:$AD1527,$AG$4),INDEX($A$3:$AD$1527,0,$AG$6),"NON-COMPLIED")=1,1,0)))))</f>
        <v>0</v>
      </c>
    </row>
    <row r="1528" customFormat="false" ht="15" hidden="false" customHeight="false" outlineLevel="0" collapsed="false">
      <c r="AH1528" s="21" t="n">
        <f aca="false">IF($AG$4=0,0,IF($AG$6=0,0,IF(INDEX($A1528:$AD1528,$AG$4)="",0,IF(INDEX($A1528:$AD1528,$AG$6)&lt;&gt;"NON-COMPLIED",0,IF(COUNTIFS(INDEX($A$3:$AD$1528,0,$AG$4),INDEX($A1528:$AD1528,$AG$4),INDEX($A$3:$AD$1528,0,$AG$6),"NON-COMPLIED")=1,1,0)))))</f>
        <v>0</v>
      </c>
    </row>
    <row r="1529" customFormat="false" ht="15" hidden="false" customHeight="false" outlineLevel="0" collapsed="false">
      <c r="AH1529" s="21" t="n">
        <f aca="false">IF($AG$4=0,0,IF($AG$6=0,0,IF(INDEX($A1529:$AD1529,$AG$4)="",0,IF(INDEX($A1529:$AD1529,$AG$6)&lt;&gt;"NON-COMPLIED",0,IF(COUNTIFS(INDEX($A$3:$AD$1529,0,$AG$4),INDEX($A1529:$AD1529,$AG$4),INDEX($A$3:$AD$1529,0,$AG$6),"NON-COMPLIED")=1,1,0)))))</f>
        <v>0</v>
      </c>
    </row>
    <row r="1530" customFormat="false" ht="15" hidden="false" customHeight="false" outlineLevel="0" collapsed="false">
      <c r="AH1530" s="21" t="n">
        <f aca="false">IF($AG$4=0,0,IF($AG$6=0,0,IF(INDEX($A1530:$AD1530,$AG$4)="",0,IF(INDEX($A1530:$AD1530,$AG$6)&lt;&gt;"NON-COMPLIED",0,IF(COUNTIFS(INDEX($A$3:$AD$1530,0,$AG$4),INDEX($A1530:$AD1530,$AG$4),INDEX($A$3:$AD$1530,0,$AG$6),"NON-COMPLIED")=1,1,0)))))</f>
        <v>0</v>
      </c>
    </row>
    <row r="1531" customFormat="false" ht="15" hidden="false" customHeight="false" outlineLevel="0" collapsed="false">
      <c r="AH1531" s="21" t="n">
        <f aca="false">IF($AG$4=0,0,IF($AG$6=0,0,IF(INDEX($A1531:$AD1531,$AG$4)="",0,IF(INDEX($A1531:$AD1531,$AG$6)&lt;&gt;"NON-COMPLIED",0,IF(COUNTIFS(INDEX($A$3:$AD$1531,0,$AG$4),INDEX($A1531:$AD1531,$AG$4),INDEX($A$3:$AD$1531,0,$AG$6),"NON-COMPLIED")=1,1,0)))))</f>
        <v>0</v>
      </c>
    </row>
    <row r="1532" customFormat="false" ht="15" hidden="false" customHeight="false" outlineLevel="0" collapsed="false">
      <c r="AH1532" s="21" t="n">
        <f aca="false">IF($AG$4=0,0,IF($AG$6=0,0,IF(INDEX($A1532:$AD1532,$AG$4)="",0,IF(INDEX($A1532:$AD1532,$AG$6)&lt;&gt;"NON-COMPLIED",0,IF(COUNTIFS(INDEX($A$3:$AD$1532,0,$AG$4),INDEX($A1532:$AD1532,$AG$4),INDEX($A$3:$AD$1532,0,$AG$6),"NON-COMPLIED")=1,1,0)))))</f>
        <v>0</v>
      </c>
    </row>
    <row r="1533" customFormat="false" ht="15" hidden="false" customHeight="false" outlineLevel="0" collapsed="false">
      <c r="AH1533" s="21" t="n">
        <f aca="false">IF($AG$4=0,0,IF($AG$6=0,0,IF(INDEX($A1533:$AD1533,$AG$4)="",0,IF(INDEX($A1533:$AD1533,$AG$6)&lt;&gt;"NON-COMPLIED",0,IF(COUNTIFS(INDEX($A$3:$AD$1533,0,$AG$4),INDEX($A1533:$AD1533,$AG$4),INDEX($A$3:$AD$1533,0,$AG$6),"NON-COMPLIED")=1,1,0)))))</f>
        <v>0</v>
      </c>
    </row>
    <row r="1534" customFormat="false" ht="15" hidden="false" customHeight="false" outlineLevel="0" collapsed="false">
      <c r="AH1534" s="21" t="n">
        <f aca="false">IF($AG$4=0,0,IF($AG$6=0,0,IF(INDEX($A1534:$AD1534,$AG$4)="",0,IF(INDEX($A1534:$AD1534,$AG$6)&lt;&gt;"NON-COMPLIED",0,IF(COUNTIFS(INDEX($A$3:$AD$1534,0,$AG$4),INDEX($A1534:$AD1534,$AG$4),INDEX($A$3:$AD$1534,0,$AG$6),"NON-COMPLIED")=1,1,0)))))</f>
        <v>0</v>
      </c>
    </row>
    <row r="1535" customFormat="false" ht="15" hidden="false" customHeight="false" outlineLevel="0" collapsed="false">
      <c r="AH1535" s="21" t="n">
        <f aca="false">IF($AG$4=0,0,IF($AG$6=0,0,IF(INDEX($A1535:$AD1535,$AG$4)="",0,IF(INDEX($A1535:$AD1535,$AG$6)&lt;&gt;"NON-COMPLIED",0,IF(COUNTIFS(INDEX($A$3:$AD$1535,0,$AG$4),INDEX($A1535:$AD1535,$AG$4),INDEX($A$3:$AD$1535,0,$AG$6),"NON-COMPLIED")=1,1,0)))))</f>
        <v>0</v>
      </c>
    </row>
    <row r="1536" customFormat="false" ht="15" hidden="false" customHeight="false" outlineLevel="0" collapsed="false">
      <c r="AH1536" s="21" t="n">
        <f aca="false">IF($AG$4=0,0,IF($AG$6=0,0,IF(INDEX($A1536:$AD1536,$AG$4)="",0,IF(INDEX($A1536:$AD1536,$AG$6)&lt;&gt;"NON-COMPLIED",0,IF(COUNTIFS(INDEX($A$3:$AD$1536,0,$AG$4),INDEX($A1536:$AD1536,$AG$4),INDEX($A$3:$AD$1536,0,$AG$6),"NON-COMPLIED")=1,1,0)))))</f>
        <v>0</v>
      </c>
    </row>
    <row r="1537" customFormat="false" ht="15" hidden="false" customHeight="false" outlineLevel="0" collapsed="false">
      <c r="AH1537" s="21" t="n">
        <f aca="false">IF($AG$4=0,0,IF($AG$6=0,0,IF(INDEX($A1537:$AD1537,$AG$4)="",0,IF(INDEX($A1537:$AD1537,$AG$6)&lt;&gt;"NON-COMPLIED",0,IF(COUNTIFS(INDEX($A$3:$AD$1537,0,$AG$4),INDEX($A1537:$AD1537,$AG$4),INDEX($A$3:$AD$1537,0,$AG$6),"NON-COMPLIED")=1,1,0)))))</f>
        <v>0</v>
      </c>
    </row>
    <row r="1538" customFormat="false" ht="15" hidden="false" customHeight="false" outlineLevel="0" collapsed="false">
      <c r="AH1538" s="21" t="n">
        <f aca="false">IF($AG$4=0,0,IF($AG$6=0,0,IF(INDEX($A1538:$AD1538,$AG$4)="",0,IF(INDEX($A1538:$AD1538,$AG$6)&lt;&gt;"NON-COMPLIED",0,IF(COUNTIFS(INDEX($A$3:$AD$1538,0,$AG$4),INDEX($A1538:$AD1538,$AG$4),INDEX($A$3:$AD$1538,0,$AG$6),"NON-COMPLIED")=1,1,0)))))</f>
        <v>0</v>
      </c>
    </row>
    <row r="1539" customFormat="false" ht="15" hidden="false" customHeight="false" outlineLevel="0" collapsed="false">
      <c r="AH1539" s="21" t="n">
        <f aca="false">IF($AG$4=0,0,IF($AG$6=0,0,IF(INDEX($A1539:$AD1539,$AG$4)="",0,IF(INDEX($A1539:$AD1539,$AG$6)&lt;&gt;"NON-COMPLIED",0,IF(COUNTIFS(INDEX($A$3:$AD$1539,0,$AG$4),INDEX($A1539:$AD1539,$AG$4),INDEX($A$3:$AD$1539,0,$AG$6),"NON-COMPLIED")=1,1,0)))))</f>
        <v>0</v>
      </c>
    </row>
    <row r="1540" customFormat="false" ht="15" hidden="false" customHeight="false" outlineLevel="0" collapsed="false">
      <c r="AH1540" s="21" t="n">
        <f aca="false">IF($AG$4=0,0,IF($AG$6=0,0,IF(INDEX($A1540:$AD1540,$AG$4)="",0,IF(INDEX($A1540:$AD1540,$AG$6)&lt;&gt;"NON-COMPLIED",0,IF(COUNTIFS(INDEX($A$3:$AD$1540,0,$AG$4),INDEX($A1540:$AD1540,$AG$4),INDEX($A$3:$AD$1540,0,$AG$6),"NON-COMPLIED")=1,1,0)))))</f>
        <v>0</v>
      </c>
    </row>
    <row r="1541" customFormat="false" ht="15" hidden="false" customHeight="false" outlineLevel="0" collapsed="false">
      <c r="AH1541" s="21" t="n">
        <f aca="false">IF($AG$4=0,0,IF($AG$6=0,0,IF(INDEX($A1541:$AD1541,$AG$4)="",0,IF(INDEX($A1541:$AD1541,$AG$6)&lt;&gt;"NON-COMPLIED",0,IF(COUNTIFS(INDEX($A$3:$AD$1541,0,$AG$4),INDEX($A1541:$AD1541,$AG$4),INDEX($A$3:$AD$1541,0,$AG$6),"NON-COMPLIED")=1,1,0)))))</f>
        <v>0</v>
      </c>
    </row>
    <row r="1542" customFormat="false" ht="15" hidden="false" customHeight="false" outlineLevel="0" collapsed="false">
      <c r="AH1542" s="21" t="n">
        <f aca="false">IF($AG$4=0,0,IF($AG$6=0,0,IF(INDEX($A1542:$AD1542,$AG$4)="",0,IF(INDEX($A1542:$AD1542,$AG$6)&lt;&gt;"NON-COMPLIED",0,IF(COUNTIFS(INDEX($A$3:$AD$1542,0,$AG$4),INDEX($A1542:$AD1542,$AG$4),INDEX($A$3:$AD$1542,0,$AG$6),"NON-COMPLIED")=1,1,0)))))</f>
        <v>0</v>
      </c>
    </row>
    <row r="1543" customFormat="false" ht="15" hidden="false" customHeight="false" outlineLevel="0" collapsed="false">
      <c r="AH1543" s="21" t="n">
        <f aca="false">IF($AG$4=0,0,IF($AG$6=0,0,IF(INDEX($A1543:$AD1543,$AG$4)="",0,IF(INDEX($A1543:$AD1543,$AG$6)&lt;&gt;"NON-COMPLIED",0,IF(COUNTIFS(INDEX($A$3:$AD$1543,0,$AG$4),INDEX($A1543:$AD1543,$AG$4),INDEX($A$3:$AD$1543,0,$AG$6),"NON-COMPLIED")=1,1,0)))))</f>
        <v>0</v>
      </c>
    </row>
    <row r="1544" customFormat="false" ht="15" hidden="false" customHeight="false" outlineLevel="0" collapsed="false">
      <c r="AH1544" s="21" t="n">
        <f aca="false">IF($AG$4=0,0,IF($AG$6=0,0,IF(INDEX($A1544:$AD1544,$AG$4)="",0,IF(INDEX($A1544:$AD1544,$AG$6)&lt;&gt;"NON-COMPLIED",0,IF(COUNTIFS(INDEX($A$3:$AD$1544,0,$AG$4),INDEX($A1544:$AD1544,$AG$4),INDEX($A$3:$AD$1544,0,$AG$6),"NON-COMPLIED")=1,1,0)))))</f>
        <v>0</v>
      </c>
    </row>
    <row r="1545" customFormat="false" ht="15" hidden="false" customHeight="false" outlineLevel="0" collapsed="false">
      <c r="AH1545" s="21" t="n">
        <f aca="false">IF($AG$4=0,0,IF($AG$6=0,0,IF(INDEX($A1545:$AD1545,$AG$4)="",0,IF(INDEX($A1545:$AD1545,$AG$6)&lt;&gt;"NON-COMPLIED",0,IF(COUNTIFS(INDEX($A$3:$AD$1545,0,$AG$4),INDEX($A1545:$AD1545,$AG$4),INDEX($A$3:$AD$1545,0,$AG$6),"NON-COMPLIED")=1,1,0)))))</f>
        <v>0</v>
      </c>
    </row>
    <row r="1546" customFormat="false" ht="15" hidden="false" customHeight="false" outlineLevel="0" collapsed="false">
      <c r="AH1546" s="21" t="n">
        <f aca="false">IF($AG$4=0,0,IF($AG$6=0,0,IF(INDEX($A1546:$AD1546,$AG$4)="",0,IF(INDEX($A1546:$AD1546,$AG$6)&lt;&gt;"NON-COMPLIED",0,IF(COUNTIFS(INDEX($A$3:$AD$1546,0,$AG$4),INDEX($A1546:$AD1546,$AG$4),INDEX($A$3:$AD$1546,0,$AG$6),"NON-COMPLIED")=1,1,0)))))</f>
        <v>0</v>
      </c>
    </row>
    <row r="1547" customFormat="false" ht="15" hidden="false" customHeight="false" outlineLevel="0" collapsed="false">
      <c r="AH1547" s="21" t="n">
        <f aca="false">IF($AG$4=0,0,IF($AG$6=0,0,IF(INDEX($A1547:$AD1547,$AG$4)="",0,IF(INDEX($A1547:$AD1547,$AG$6)&lt;&gt;"NON-COMPLIED",0,IF(COUNTIFS(INDEX($A$3:$AD$1547,0,$AG$4),INDEX($A1547:$AD1547,$AG$4),INDEX($A$3:$AD$1547,0,$AG$6),"NON-COMPLIED")=1,1,0)))))</f>
        <v>0</v>
      </c>
    </row>
    <row r="1548" customFormat="false" ht="15" hidden="false" customHeight="false" outlineLevel="0" collapsed="false">
      <c r="AH1548" s="21" t="n">
        <f aca="false">IF($AG$4=0,0,IF($AG$6=0,0,IF(INDEX($A1548:$AD1548,$AG$4)="",0,IF(INDEX($A1548:$AD1548,$AG$6)&lt;&gt;"NON-COMPLIED",0,IF(COUNTIFS(INDEX($A$3:$AD$1548,0,$AG$4),INDEX($A1548:$AD1548,$AG$4),INDEX($A$3:$AD$1548,0,$AG$6),"NON-COMPLIED")=1,1,0)))))</f>
        <v>0</v>
      </c>
    </row>
    <row r="1549" customFormat="false" ht="15" hidden="false" customHeight="false" outlineLevel="0" collapsed="false">
      <c r="AH1549" s="21" t="n">
        <f aca="false">IF($AG$4=0,0,IF($AG$6=0,0,IF(INDEX($A1549:$AD1549,$AG$4)="",0,IF(INDEX($A1549:$AD1549,$AG$6)&lt;&gt;"NON-COMPLIED",0,IF(COUNTIFS(INDEX($A$3:$AD$1549,0,$AG$4),INDEX($A1549:$AD1549,$AG$4),INDEX($A$3:$AD$1549,0,$AG$6),"NON-COMPLIED")=1,1,0)))))</f>
        <v>0</v>
      </c>
    </row>
    <row r="1550" customFormat="false" ht="15" hidden="false" customHeight="false" outlineLevel="0" collapsed="false">
      <c r="AH1550" s="21" t="n">
        <f aca="false">IF($AG$4=0,0,IF($AG$6=0,0,IF(INDEX($A1550:$AD1550,$AG$4)="",0,IF(INDEX($A1550:$AD1550,$AG$6)&lt;&gt;"NON-COMPLIED",0,IF(COUNTIFS(INDEX($A$3:$AD$1550,0,$AG$4),INDEX($A1550:$AD1550,$AG$4),INDEX($A$3:$AD$1550,0,$AG$6),"NON-COMPLIED")=1,1,0)))))</f>
        <v>0</v>
      </c>
    </row>
    <row r="1551" customFormat="false" ht="15" hidden="false" customHeight="false" outlineLevel="0" collapsed="false">
      <c r="AH1551" s="21" t="n">
        <f aca="false">IF($AG$4=0,0,IF($AG$6=0,0,IF(INDEX($A1551:$AD1551,$AG$4)="",0,IF(INDEX($A1551:$AD1551,$AG$6)&lt;&gt;"NON-COMPLIED",0,IF(COUNTIFS(INDEX($A$3:$AD$1551,0,$AG$4),INDEX($A1551:$AD1551,$AG$4),INDEX($A$3:$AD$1551,0,$AG$6),"NON-COMPLIED")=1,1,0)))))</f>
        <v>0</v>
      </c>
    </row>
    <row r="1552" customFormat="false" ht="15" hidden="false" customHeight="false" outlineLevel="0" collapsed="false">
      <c r="AH1552" s="21" t="n">
        <f aca="false">IF($AG$4=0,0,IF($AG$6=0,0,IF(INDEX($A1552:$AD1552,$AG$4)="",0,IF(INDEX($A1552:$AD1552,$AG$6)&lt;&gt;"NON-COMPLIED",0,IF(COUNTIFS(INDEX($A$3:$AD$1552,0,$AG$4),INDEX($A1552:$AD1552,$AG$4),INDEX($A$3:$AD$1552,0,$AG$6),"NON-COMPLIED")=1,1,0)))))</f>
        <v>0</v>
      </c>
    </row>
    <row r="1553" customFormat="false" ht="15" hidden="false" customHeight="false" outlineLevel="0" collapsed="false">
      <c r="AH1553" s="21" t="n">
        <f aca="false">IF($AG$4=0,0,IF($AG$6=0,0,IF(INDEX($A1553:$AD1553,$AG$4)="",0,IF(INDEX($A1553:$AD1553,$AG$6)&lt;&gt;"NON-COMPLIED",0,IF(COUNTIFS(INDEX($A$3:$AD$1553,0,$AG$4),INDEX($A1553:$AD1553,$AG$4),INDEX($A$3:$AD$1553,0,$AG$6),"NON-COMPLIED")=1,1,0)))))</f>
        <v>0</v>
      </c>
    </row>
    <row r="1554" customFormat="false" ht="15" hidden="false" customHeight="false" outlineLevel="0" collapsed="false">
      <c r="AH1554" s="21" t="n">
        <f aca="false">IF($AG$4=0,0,IF($AG$6=0,0,IF(INDEX($A1554:$AD1554,$AG$4)="",0,IF(INDEX($A1554:$AD1554,$AG$6)&lt;&gt;"NON-COMPLIED",0,IF(COUNTIFS(INDEX($A$3:$AD$1554,0,$AG$4),INDEX($A1554:$AD1554,$AG$4),INDEX($A$3:$AD$1554,0,$AG$6),"NON-COMPLIED")=1,1,0)))))</f>
        <v>0</v>
      </c>
    </row>
    <row r="1555" customFormat="false" ht="15" hidden="false" customHeight="false" outlineLevel="0" collapsed="false">
      <c r="AH1555" s="21" t="n">
        <f aca="false">IF($AG$4=0,0,IF($AG$6=0,0,IF(INDEX($A1555:$AD1555,$AG$4)="",0,IF(INDEX($A1555:$AD1555,$AG$6)&lt;&gt;"NON-COMPLIED",0,IF(COUNTIFS(INDEX($A$3:$AD$1555,0,$AG$4),INDEX($A1555:$AD1555,$AG$4),INDEX($A$3:$AD$1555,0,$AG$6),"NON-COMPLIED")=1,1,0)))))</f>
        <v>0</v>
      </c>
    </row>
    <row r="1556" customFormat="false" ht="15" hidden="false" customHeight="false" outlineLevel="0" collapsed="false">
      <c r="AH1556" s="21" t="n">
        <f aca="false">IF($AG$4=0,0,IF($AG$6=0,0,IF(INDEX($A1556:$AD1556,$AG$4)="",0,IF(INDEX($A1556:$AD1556,$AG$6)&lt;&gt;"NON-COMPLIED",0,IF(COUNTIFS(INDEX($A$3:$AD$1556,0,$AG$4),INDEX($A1556:$AD1556,$AG$4),INDEX($A$3:$AD$1556,0,$AG$6),"NON-COMPLIED")=1,1,0)))))</f>
        <v>0</v>
      </c>
    </row>
    <row r="1557" customFormat="false" ht="15" hidden="false" customHeight="false" outlineLevel="0" collapsed="false">
      <c r="AH1557" s="21" t="n">
        <f aca="false">IF($AG$4=0,0,IF($AG$6=0,0,IF(INDEX($A1557:$AD1557,$AG$4)="",0,IF(INDEX($A1557:$AD1557,$AG$6)&lt;&gt;"NON-COMPLIED",0,IF(COUNTIFS(INDEX($A$3:$AD$1557,0,$AG$4),INDEX($A1557:$AD1557,$AG$4),INDEX($A$3:$AD$1557,0,$AG$6),"NON-COMPLIED")=1,1,0)))))</f>
        <v>0</v>
      </c>
    </row>
    <row r="1558" customFormat="false" ht="15" hidden="false" customHeight="false" outlineLevel="0" collapsed="false">
      <c r="AH1558" s="21" t="n">
        <f aca="false">IF($AG$4=0,0,IF($AG$6=0,0,IF(INDEX($A1558:$AD1558,$AG$4)="",0,IF(INDEX($A1558:$AD1558,$AG$6)&lt;&gt;"NON-COMPLIED",0,IF(COUNTIFS(INDEX($A$3:$AD$1558,0,$AG$4),INDEX($A1558:$AD1558,$AG$4),INDEX($A$3:$AD$1558,0,$AG$6),"NON-COMPLIED")=1,1,0)))))</f>
        <v>0</v>
      </c>
    </row>
    <row r="1559" customFormat="false" ht="15" hidden="false" customHeight="false" outlineLevel="0" collapsed="false">
      <c r="AH1559" s="21" t="n">
        <f aca="false">IF($AG$4=0,0,IF($AG$6=0,0,IF(INDEX($A1559:$AD1559,$AG$4)="",0,IF(INDEX($A1559:$AD1559,$AG$6)&lt;&gt;"NON-COMPLIED",0,IF(COUNTIFS(INDEX($A$3:$AD$1559,0,$AG$4),INDEX($A1559:$AD1559,$AG$4),INDEX($A$3:$AD$1559,0,$AG$6),"NON-COMPLIED")=1,1,0)))))</f>
        <v>0</v>
      </c>
    </row>
    <row r="1560" customFormat="false" ht="15" hidden="false" customHeight="false" outlineLevel="0" collapsed="false">
      <c r="AH1560" s="21" t="n">
        <f aca="false">IF($AG$4=0,0,IF($AG$6=0,0,IF(INDEX($A1560:$AD1560,$AG$4)="",0,IF(INDEX($A1560:$AD1560,$AG$6)&lt;&gt;"NON-COMPLIED",0,IF(COUNTIFS(INDEX($A$3:$AD$1560,0,$AG$4),INDEX($A1560:$AD1560,$AG$4),INDEX($A$3:$AD$1560,0,$AG$6),"NON-COMPLIED")=1,1,0)))))</f>
        <v>0</v>
      </c>
    </row>
    <row r="1561" customFormat="false" ht="15" hidden="false" customHeight="false" outlineLevel="0" collapsed="false">
      <c r="AH1561" s="21" t="n">
        <f aca="false">IF($AG$4=0,0,IF($AG$6=0,0,IF(INDEX($A1561:$AD1561,$AG$4)="",0,IF(INDEX($A1561:$AD1561,$AG$6)&lt;&gt;"NON-COMPLIED",0,IF(COUNTIFS(INDEX($A$3:$AD$1561,0,$AG$4),INDEX($A1561:$AD1561,$AG$4),INDEX($A$3:$AD$1561,0,$AG$6),"NON-COMPLIED")=1,1,0)))))</f>
        <v>0</v>
      </c>
    </row>
    <row r="1562" customFormat="false" ht="15" hidden="false" customHeight="false" outlineLevel="0" collapsed="false">
      <c r="AH1562" s="21" t="n">
        <f aca="false">IF($AG$4=0,0,IF($AG$6=0,0,IF(INDEX($A1562:$AD1562,$AG$4)="",0,IF(INDEX($A1562:$AD1562,$AG$6)&lt;&gt;"NON-COMPLIED",0,IF(COUNTIFS(INDEX($A$3:$AD$1562,0,$AG$4),INDEX($A1562:$AD1562,$AG$4),INDEX($A$3:$AD$1562,0,$AG$6),"NON-COMPLIED")=1,1,0)))))</f>
        <v>0</v>
      </c>
    </row>
    <row r="1563" customFormat="false" ht="15" hidden="false" customHeight="false" outlineLevel="0" collapsed="false">
      <c r="AH1563" s="21" t="n">
        <f aca="false">IF($AG$4=0,0,IF($AG$6=0,0,IF(INDEX($A1563:$AD1563,$AG$4)="",0,IF(INDEX($A1563:$AD1563,$AG$6)&lt;&gt;"NON-COMPLIED",0,IF(COUNTIFS(INDEX($A$3:$AD$1563,0,$AG$4),INDEX($A1563:$AD1563,$AG$4),INDEX($A$3:$AD$1563,0,$AG$6),"NON-COMPLIED")=1,1,0)))))</f>
        <v>0</v>
      </c>
    </row>
    <row r="1564" customFormat="false" ht="15" hidden="false" customHeight="false" outlineLevel="0" collapsed="false">
      <c r="AH1564" s="21" t="n">
        <f aca="false">IF($AG$4=0,0,IF($AG$6=0,0,IF(INDEX($A1564:$AD1564,$AG$4)="",0,IF(INDEX($A1564:$AD1564,$AG$6)&lt;&gt;"NON-COMPLIED",0,IF(COUNTIFS(INDEX($A$3:$AD$1564,0,$AG$4),INDEX($A1564:$AD1564,$AG$4),INDEX($A$3:$AD$1564,0,$AG$6),"NON-COMPLIED")=1,1,0)))))</f>
        <v>0</v>
      </c>
    </row>
    <row r="1565" customFormat="false" ht="15" hidden="false" customHeight="false" outlineLevel="0" collapsed="false">
      <c r="AH1565" s="21" t="n">
        <f aca="false">IF($AG$4=0,0,IF($AG$6=0,0,IF(INDEX($A1565:$AD1565,$AG$4)="",0,IF(INDEX($A1565:$AD1565,$AG$6)&lt;&gt;"NON-COMPLIED",0,IF(COUNTIFS(INDEX($A$3:$AD$1565,0,$AG$4),INDEX($A1565:$AD1565,$AG$4),INDEX($A$3:$AD$1565,0,$AG$6),"NON-COMPLIED")=1,1,0)))))</f>
        <v>0</v>
      </c>
    </row>
    <row r="1566" customFormat="false" ht="15" hidden="false" customHeight="false" outlineLevel="0" collapsed="false">
      <c r="AH1566" s="21" t="n">
        <f aca="false">IF($AG$4=0,0,IF($AG$6=0,0,IF(INDEX($A1566:$AD1566,$AG$4)="",0,IF(INDEX($A1566:$AD1566,$AG$6)&lt;&gt;"NON-COMPLIED",0,IF(COUNTIFS(INDEX($A$3:$AD$1566,0,$AG$4),INDEX($A1566:$AD1566,$AG$4),INDEX($A$3:$AD$1566,0,$AG$6),"NON-COMPLIED")=1,1,0)))))</f>
        <v>0</v>
      </c>
    </row>
    <row r="1567" customFormat="false" ht="15" hidden="false" customHeight="false" outlineLevel="0" collapsed="false">
      <c r="AH1567" s="21" t="n">
        <f aca="false">IF($AG$4=0,0,IF($AG$6=0,0,IF(INDEX($A1567:$AD1567,$AG$4)="",0,IF(INDEX($A1567:$AD1567,$AG$6)&lt;&gt;"NON-COMPLIED",0,IF(COUNTIFS(INDEX($A$3:$AD$1567,0,$AG$4),INDEX($A1567:$AD1567,$AG$4),INDEX($A$3:$AD$1567,0,$AG$6),"NON-COMPLIED")=1,1,0)))))</f>
        <v>0</v>
      </c>
    </row>
    <row r="1568" customFormat="false" ht="15" hidden="false" customHeight="false" outlineLevel="0" collapsed="false">
      <c r="AH1568" s="21" t="n">
        <f aca="false">IF($AG$4=0,0,IF($AG$6=0,0,IF(INDEX($A1568:$AD1568,$AG$4)="",0,IF(INDEX($A1568:$AD1568,$AG$6)&lt;&gt;"NON-COMPLIED",0,IF(COUNTIFS(INDEX($A$3:$AD$1568,0,$AG$4),INDEX($A1568:$AD1568,$AG$4),INDEX($A$3:$AD$1568,0,$AG$6),"NON-COMPLIED")=1,1,0)))))</f>
        <v>0</v>
      </c>
    </row>
    <row r="1569" customFormat="false" ht="15" hidden="false" customHeight="false" outlineLevel="0" collapsed="false">
      <c r="AH1569" s="21" t="n">
        <f aca="false">IF($AG$4=0,0,IF($AG$6=0,0,IF(INDEX($A1569:$AD1569,$AG$4)="",0,IF(INDEX($A1569:$AD1569,$AG$6)&lt;&gt;"NON-COMPLIED",0,IF(COUNTIFS(INDEX($A$3:$AD$1569,0,$AG$4),INDEX($A1569:$AD1569,$AG$4),INDEX($A$3:$AD$1569,0,$AG$6),"NON-COMPLIED")=1,1,0)))))</f>
        <v>0</v>
      </c>
    </row>
    <row r="1570" customFormat="false" ht="15" hidden="false" customHeight="false" outlineLevel="0" collapsed="false">
      <c r="AH1570" s="21" t="n">
        <f aca="false">IF($AG$4=0,0,IF($AG$6=0,0,IF(INDEX($A1570:$AD1570,$AG$4)="",0,IF(INDEX($A1570:$AD1570,$AG$6)&lt;&gt;"NON-COMPLIED",0,IF(COUNTIFS(INDEX($A$3:$AD$1570,0,$AG$4),INDEX($A1570:$AD1570,$AG$4),INDEX($A$3:$AD$1570,0,$AG$6),"NON-COMPLIED")=1,1,0)))))</f>
        <v>0</v>
      </c>
    </row>
    <row r="1571" customFormat="false" ht="15" hidden="false" customHeight="false" outlineLevel="0" collapsed="false">
      <c r="AH1571" s="21" t="n">
        <f aca="false">IF($AG$4=0,0,IF($AG$6=0,0,IF(INDEX($A1571:$AD1571,$AG$4)="",0,IF(INDEX($A1571:$AD1571,$AG$6)&lt;&gt;"NON-COMPLIED",0,IF(COUNTIFS(INDEX($A$3:$AD$1571,0,$AG$4),INDEX($A1571:$AD1571,$AG$4),INDEX($A$3:$AD$1571,0,$AG$6),"NON-COMPLIED")=1,1,0)))))</f>
        <v>0</v>
      </c>
    </row>
    <row r="1572" customFormat="false" ht="15" hidden="false" customHeight="false" outlineLevel="0" collapsed="false">
      <c r="AH1572" s="21" t="n">
        <f aca="false">IF($AG$4=0,0,IF($AG$6=0,0,IF(INDEX($A1572:$AD1572,$AG$4)="",0,IF(INDEX($A1572:$AD1572,$AG$6)&lt;&gt;"NON-COMPLIED",0,IF(COUNTIFS(INDEX($A$3:$AD$1572,0,$AG$4),INDEX($A1572:$AD1572,$AG$4),INDEX($A$3:$AD$1572,0,$AG$6),"NON-COMPLIED")=1,1,0)))))</f>
        <v>0</v>
      </c>
    </row>
    <row r="1573" customFormat="false" ht="15" hidden="false" customHeight="false" outlineLevel="0" collapsed="false">
      <c r="AH1573" s="21" t="n">
        <f aca="false">IF($AG$4=0,0,IF($AG$6=0,0,IF(INDEX($A1573:$AD1573,$AG$4)="",0,IF(INDEX($A1573:$AD1573,$AG$6)&lt;&gt;"NON-COMPLIED",0,IF(COUNTIFS(INDEX($A$3:$AD$1573,0,$AG$4),INDEX($A1573:$AD1573,$AG$4),INDEX($A$3:$AD$1573,0,$AG$6),"NON-COMPLIED")=1,1,0)))))</f>
        <v>0</v>
      </c>
    </row>
    <row r="1574" customFormat="false" ht="15" hidden="false" customHeight="false" outlineLevel="0" collapsed="false">
      <c r="AH1574" s="21" t="n">
        <f aca="false">IF($AG$4=0,0,IF($AG$6=0,0,IF(INDEX($A1574:$AD1574,$AG$4)="",0,IF(INDEX($A1574:$AD1574,$AG$6)&lt;&gt;"NON-COMPLIED",0,IF(COUNTIFS(INDEX($A$3:$AD$1574,0,$AG$4),INDEX($A1574:$AD1574,$AG$4),INDEX($A$3:$AD$1574,0,$AG$6),"NON-COMPLIED")=1,1,0)))))</f>
        <v>0</v>
      </c>
    </row>
    <row r="1575" customFormat="false" ht="15" hidden="false" customHeight="false" outlineLevel="0" collapsed="false">
      <c r="AH1575" s="21" t="n">
        <f aca="false">IF($AG$4=0,0,IF($AG$6=0,0,IF(INDEX($A1575:$AD1575,$AG$4)="",0,IF(INDEX($A1575:$AD1575,$AG$6)&lt;&gt;"NON-COMPLIED",0,IF(COUNTIFS(INDEX($A$3:$AD$1575,0,$AG$4),INDEX($A1575:$AD1575,$AG$4),INDEX($A$3:$AD$1575,0,$AG$6),"NON-COMPLIED")=1,1,0)))))</f>
        <v>0</v>
      </c>
    </row>
    <row r="1576" customFormat="false" ht="15" hidden="false" customHeight="false" outlineLevel="0" collapsed="false">
      <c r="AH1576" s="21" t="n">
        <f aca="false">IF($AG$4=0,0,IF($AG$6=0,0,IF(INDEX($A1576:$AD1576,$AG$4)="",0,IF(INDEX($A1576:$AD1576,$AG$6)&lt;&gt;"NON-COMPLIED",0,IF(COUNTIFS(INDEX($A$3:$AD$1576,0,$AG$4),INDEX($A1576:$AD1576,$AG$4),INDEX($A$3:$AD$1576,0,$AG$6),"NON-COMPLIED")=1,1,0)))))</f>
        <v>0</v>
      </c>
    </row>
    <row r="1577" customFormat="false" ht="15" hidden="false" customHeight="false" outlineLevel="0" collapsed="false">
      <c r="AH1577" s="21" t="n">
        <f aca="false">IF($AG$4=0,0,IF($AG$6=0,0,IF(INDEX($A1577:$AD1577,$AG$4)="",0,IF(INDEX($A1577:$AD1577,$AG$6)&lt;&gt;"NON-COMPLIED",0,IF(COUNTIFS(INDEX($A$3:$AD$1577,0,$AG$4),INDEX($A1577:$AD1577,$AG$4),INDEX($A$3:$AD$1577,0,$AG$6),"NON-COMPLIED")=1,1,0)))))</f>
        <v>0</v>
      </c>
    </row>
    <row r="1578" customFormat="false" ht="15" hidden="false" customHeight="false" outlineLevel="0" collapsed="false">
      <c r="AH1578" s="21" t="n">
        <f aca="false">IF($AG$4=0,0,IF($AG$6=0,0,IF(INDEX($A1578:$AD1578,$AG$4)="",0,IF(INDEX($A1578:$AD1578,$AG$6)&lt;&gt;"NON-COMPLIED",0,IF(COUNTIFS(INDEX($A$3:$AD$1578,0,$AG$4),INDEX($A1578:$AD1578,$AG$4),INDEX($A$3:$AD$1578,0,$AG$6),"NON-COMPLIED")=1,1,0)))))</f>
        <v>0</v>
      </c>
    </row>
    <row r="1579" customFormat="false" ht="15" hidden="false" customHeight="false" outlineLevel="0" collapsed="false">
      <c r="AH1579" s="21" t="n">
        <f aca="false">IF($AG$4=0,0,IF($AG$6=0,0,IF(INDEX($A1579:$AD1579,$AG$4)="",0,IF(INDEX($A1579:$AD1579,$AG$6)&lt;&gt;"NON-COMPLIED",0,IF(COUNTIFS(INDEX($A$3:$AD$1579,0,$AG$4),INDEX($A1579:$AD1579,$AG$4),INDEX($A$3:$AD$1579,0,$AG$6),"NON-COMPLIED")=1,1,0)))))</f>
        <v>0</v>
      </c>
    </row>
    <row r="1580" customFormat="false" ht="15" hidden="false" customHeight="false" outlineLevel="0" collapsed="false">
      <c r="AH1580" s="21" t="n">
        <f aca="false">IF($AG$4=0,0,IF($AG$6=0,0,IF(INDEX($A1580:$AD1580,$AG$4)="",0,IF(INDEX($A1580:$AD1580,$AG$6)&lt;&gt;"NON-COMPLIED",0,IF(COUNTIFS(INDEX($A$3:$AD$1580,0,$AG$4),INDEX($A1580:$AD1580,$AG$4),INDEX($A$3:$AD$1580,0,$AG$6),"NON-COMPLIED")=1,1,0)))))</f>
        <v>0</v>
      </c>
    </row>
    <row r="1581" customFormat="false" ht="15" hidden="false" customHeight="false" outlineLevel="0" collapsed="false">
      <c r="AH1581" s="21" t="n">
        <f aca="false">IF($AG$4=0,0,IF($AG$6=0,0,IF(INDEX($A1581:$AD1581,$AG$4)="",0,IF(INDEX($A1581:$AD1581,$AG$6)&lt;&gt;"NON-COMPLIED",0,IF(COUNTIFS(INDEX($A$3:$AD$1581,0,$AG$4),INDEX($A1581:$AD1581,$AG$4),INDEX($A$3:$AD$1581,0,$AG$6),"NON-COMPLIED")=1,1,0)))))</f>
        <v>0</v>
      </c>
    </row>
    <row r="1582" customFormat="false" ht="15" hidden="false" customHeight="false" outlineLevel="0" collapsed="false">
      <c r="AH1582" s="21" t="n">
        <f aca="false">IF($AG$4=0,0,IF($AG$6=0,0,IF(INDEX($A1582:$AD1582,$AG$4)="",0,IF(INDEX($A1582:$AD1582,$AG$6)&lt;&gt;"NON-COMPLIED",0,IF(COUNTIFS(INDEX($A$3:$AD$1582,0,$AG$4),INDEX($A1582:$AD1582,$AG$4),INDEX($A$3:$AD$1582,0,$AG$6),"NON-COMPLIED")=1,1,0)))))</f>
        <v>0</v>
      </c>
    </row>
    <row r="1583" customFormat="false" ht="15" hidden="false" customHeight="false" outlineLevel="0" collapsed="false">
      <c r="AH1583" s="21" t="n">
        <f aca="false">IF($AG$4=0,0,IF($AG$6=0,0,IF(INDEX($A1583:$AD1583,$AG$4)="",0,IF(INDEX($A1583:$AD1583,$AG$6)&lt;&gt;"NON-COMPLIED",0,IF(COUNTIFS(INDEX($A$3:$AD$1583,0,$AG$4),INDEX($A1583:$AD1583,$AG$4),INDEX($A$3:$AD$1583,0,$AG$6),"NON-COMPLIED")=1,1,0)))))</f>
        <v>0</v>
      </c>
    </row>
    <row r="1584" customFormat="false" ht="15" hidden="false" customHeight="false" outlineLevel="0" collapsed="false">
      <c r="AH1584" s="21" t="n">
        <f aca="false">IF($AG$4=0,0,IF($AG$6=0,0,IF(INDEX($A1584:$AD1584,$AG$4)="",0,IF(INDEX($A1584:$AD1584,$AG$6)&lt;&gt;"NON-COMPLIED",0,IF(COUNTIFS(INDEX($A$3:$AD$1584,0,$AG$4),INDEX($A1584:$AD1584,$AG$4),INDEX($A$3:$AD$1584,0,$AG$6),"NON-COMPLIED")=1,1,0)))))</f>
        <v>0</v>
      </c>
    </row>
    <row r="1585" customFormat="false" ht="15" hidden="false" customHeight="false" outlineLevel="0" collapsed="false">
      <c r="AH1585" s="21" t="n">
        <f aca="false">IF($AG$4=0,0,IF($AG$6=0,0,IF(INDEX($A1585:$AD1585,$AG$4)="",0,IF(INDEX($A1585:$AD1585,$AG$6)&lt;&gt;"NON-COMPLIED",0,IF(COUNTIFS(INDEX($A$3:$AD$1585,0,$AG$4),INDEX($A1585:$AD1585,$AG$4),INDEX($A$3:$AD$1585,0,$AG$6),"NON-COMPLIED")=1,1,0)))))</f>
        <v>0</v>
      </c>
    </row>
    <row r="1586" customFormat="false" ht="15" hidden="false" customHeight="false" outlineLevel="0" collapsed="false">
      <c r="AH1586" s="21" t="n">
        <f aca="false">IF($AG$4=0,0,IF($AG$6=0,0,IF(INDEX($A1586:$AD1586,$AG$4)="",0,IF(INDEX($A1586:$AD1586,$AG$6)&lt;&gt;"NON-COMPLIED",0,IF(COUNTIFS(INDEX($A$3:$AD$1586,0,$AG$4),INDEX($A1586:$AD1586,$AG$4),INDEX($A$3:$AD$1586,0,$AG$6),"NON-COMPLIED")=1,1,0)))))</f>
        <v>0</v>
      </c>
    </row>
    <row r="1587" customFormat="false" ht="15" hidden="false" customHeight="false" outlineLevel="0" collapsed="false">
      <c r="AH1587" s="21" t="n">
        <f aca="false">IF($AG$4=0,0,IF($AG$6=0,0,IF(INDEX($A1587:$AD1587,$AG$4)="",0,IF(INDEX($A1587:$AD1587,$AG$6)&lt;&gt;"NON-COMPLIED",0,IF(COUNTIFS(INDEX($A$3:$AD$1587,0,$AG$4),INDEX($A1587:$AD1587,$AG$4),INDEX($A$3:$AD$1587,0,$AG$6),"NON-COMPLIED")=1,1,0)))))</f>
        <v>0</v>
      </c>
    </row>
    <row r="1588" customFormat="false" ht="15" hidden="false" customHeight="false" outlineLevel="0" collapsed="false">
      <c r="AH1588" s="21" t="n">
        <f aca="false">IF($AG$4=0,0,IF($AG$6=0,0,IF(INDEX($A1588:$AD1588,$AG$4)="",0,IF(INDEX($A1588:$AD1588,$AG$6)&lt;&gt;"NON-COMPLIED",0,IF(COUNTIFS(INDEX($A$3:$AD$1588,0,$AG$4),INDEX($A1588:$AD1588,$AG$4),INDEX($A$3:$AD$1588,0,$AG$6),"NON-COMPLIED")=1,1,0)))))</f>
        <v>0</v>
      </c>
    </row>
    <row r="1589" customFormat="false" ht="15" hidden="false" customHeight="false" outlineLevel="0" collapsed="false">
      <c r="AH1589" s="21" t="n">
        <f aca="false">IF($AG$4=0,0,IF($AG$6=0,0,IF(INDEX($A1589:$AD1589,$AG$4)="",0,IF(INDEX($A1589:$AD1589,$AG$6)&lt;&gt;"NON-COMPLIED",0,IF(COUNTIFS(INDEX($A$3:$AD$1589,0,$AG$4),INDEX($A1589:$AD1589,$AG$4),INDEX($A$3:$AD$1589,0,$AG$6),"NON-COMPLIED")=1,1,0)))))</f>
        <v>0</v>
      </c>
    </row>
    <row r="1590" customFormat="false" ht="15" hidden="false" customHeight="false" outlineLevel="0" collapsed="false">
      <c r="AH1590" s="21" t="n">
        <f aca="false">IF($AG$4=0,0,IF($AG$6=0,0,IF(INDEX($A1590:$AD1590,$AG$4)="",0,IF(INDEX($A1590:$AD1590,$AG$6)&lt;&gt;"NON-COMPLIED",0,IF(COUNTIFS(INDEX($A$3:$AD$1590,0,$AG$4),INDEX($A1590:$AD1590,$AG$4),INDEX($A$3:$AD$1590,0,$AG$6),"NON-COMPLIED")=1,1,0)))))</f>
        <v>0</v>
      </c>
    </row>
    <row r="1591" customFormat="false" ht="15" hidden="false" customHeight="false" outlineLevel="0" collapsed="false">
      <c r="AH1591" s="21" t="n">
        <f aca="false">IF($AG$4=0,0,IF($AG$6=0,0,IF(INDEX($A1591:$AD1591,$AG$4)="",0,IF(INDEX($A1591:$AD1591,$AG$6)&lt;&gt;"NON-COMPLIED",0,IF(COUNTIFS(INDEX($A$3:$AD$1591,0,$AG$4),INDEX($A1591:$AD1591,$AG$4),INDEX($A$3:$AD$1591,0,$AG$6),"NON-COMPLIED")=1,1,0)))))</f>
        <v>0</v>
      </c>
    </row>
    <row r="1592" customFormat="false" ht="15" hidden="false" customHeight="false" outlineLevel="0" collapsed="false">
      <c r="AH1592" s="21" t="n">
        <f aca="false">IF($AG$4=0,0,IF($AG$6=0,0,IF(INDEX($A1592:$AD1592,$AG$4)="",0,IF(INDEX($A1592:$AD1592,$AG$6)&lt;&gt;"NON-COMPLIED",0,IF(COUNTIFS(INDEX($A$3:$AD$1592,0,$AG$4),INDEX($A1592:$AD1592,$AG$4),INDEX($A$3:$AD$1592,0,$AG$6),"NON-COMPLIED")=1,1,0)))))</f>
        <v>0</v>
      </c>
    </row>
    <row r="1593" customFormat="false" ht="15" hidden="false" customHeight="false" outlineLevel="0" collapsed="false">
      <c r="AH1593" s="21" t="n">
        <f aca="false">IF($AG$4=0,0,IF($AG$6=0,0,IF(INDEX($A1593:$AD1593,$AG$4)="",0,IF(INDEX($A1593:$AD1593,$AG$6)&lt;&gt;"NON-COMPLIED",0,IF(COUNTIFS(INDEX($A$3:$AD$1593,0,$AG$4),INDEX($A1593:$AD1593,$AG$4),INDEX($A$3:$AD$1593,0,$AG$6),"NON-COMPLIED")=1,1,0)))))</f>
        <v>0</v>
      </c>
    </row>
    <row r="1594" customFormat="false" ht="15" hidden="false" customHeight="false" outlineLevel="0" collapsed="false">
      <c r="AH1594" s="21" t="n">
        <f aca="false">IF($AG$4=0,0,IF($AG$6=0,0,IF(INDEX($A1594:$AD1594,$AG$4)="",0,IF(INDEX($A1594:$AD1594,$AG$6)&lt;&gt;"NON-COMPLIED",0,IF(COUNTIFS(INDEX($A$3:$AD$1594,0,$AG$4),INDEX($A1594:$AD1594,$AG$4),INDEX($A$3:$AD$1594,0,$AG$6),"NON-COMPLIED")=1,1,0)))))</f>
        <v>0</v>
      </c>
    </row>
    <row r="1595" customFormat="false" ht="15" hidden="false" customHeight="false" outlineLevel="0" collapsed="false">
      <c r="AH1595" s="21" t="n">
        <f aca="false">IF($AG$4=0,0,IF($AG$6=0,0,IF(INDEX($A1595:$AD1595,$AG$4)="",0,IF(INDEX($A1595:$AD1595,$AG$6)&lt;&gt;"NON-COMPLIED",0,IF(COUNTIFS(INDEX($A$3:$AD$1595,0,$AG$4),INDEX($A1595:$AD1595,$AG$4),INDEX($A$3:$AD$1595,0,$AG$6),"NON-COMPLIED")=1,1,0)))))</f>
        <v>0</v>
      </c>
    </row>
    <row r="1596" customFormat="false" ht="15" hidden="false" customHeight="false" outlineLevel="0" collapsed="false">
      <c r="AH1596" s="21" t="n">
        <f aca="false">IF($AG$4=0,0,IF($AG$6=0,0,IF(INDEX($A1596:$AD1596,$AG$4)="",0,IF(INDEX($A1596:$AD1596,$AG$6)&lt;&gt;"NON-COMPLIED",0,IF(COUNTIFS(INDEX($A$3:$AD$1596,0,$AG$4),INDEX($A1596:$AD1596,$AG$4),INDEX($A$3:$AD$1596,0,$AG$6),"NON-COMPLIED")=1,1,0)))))</f>
        <v>0</v>
      </c>
    </row>
    <row r="1597" customFormat="false" ht="15" hidden="false" customHeight="false" outlineLevel="0" collapsed="false">
      <c r="AH1597" s="21" t="n">
        <f aca="false">IF($AG$4=0,0,IF($AG$6=0,0,IF(INDEX($A1597:$AD1597,$AG$4)="",0,IF(INDEX($A1597:$AD1597,$AG$6)&lt;&gt;"NON-COMPLIED",0,IF(COUNTIFS(INDEX($A$3:$AD$1597,0,$AG$4),INDEX($A1597:$AD1597,$AG$4),INDEX($A$3:$AD$1597,0,$AG$6),"NON-COMPLIED")=1,1,0)))))</f>
        <v>0</v>
      </c>
    </row>
    <row r="1598" customFormat="false" ht="15" hidden="false" customHeight="false" outlineLevel="0" collapsed="false">
      <c r="AH1598" s="21" t="n">
        <f aca="false">IF($AG$4=0,0,IF($AG$6=0,0,IF(INDEX($A1598:$AD1598,$AG$4)="",0,IF(INDEX($A1598:$AD1598,$AG$6)&lt;&gt;"NON-COMPLIED",0,IF(COUNTIFS(INDEX($A$3:$AD$1598,0,$AG$4),INDEX($A1598:$AD1598,$AG$4),INDEX($A$3:$AD$1598,0,$AG$6),"NON-COMPLIED")=1,1,0)))))</f>
        <v>0</v>
      </c>
    </row>
    <row r="1599" customFormat="false" ht="15" hidden="false" customHeight="false" outlineLevel="0" collapsed="false">
      <c r="AH1599" s="21" t="n">
        <f aca="false">IF($AG$4=0,0,IF($AG$6=0,0,IF(INDEX($A1599:$AD1599,$AG$4)="",0,IF(INDEX($A1599:$AD1599,$AG$6)&lt;&gt;"NON-COMPLIED",0,IF(COUNTIFS(INDEX($A$3:$AD$1599,0,$AG$4),INDEX($A1599:$AD1599,$AG$4),INDEX($A$3:$AD$1599,0,$AG$6),"NON-COMPLIED")=1,1,0)))))</f>
        <v>0</v>
      </c>
    </row>
    <row r="1600" customFormat="false" ht="15" hidden="false" customHeight="false" outlineLevel="0" collapsed="false">
      <c r="AH1600" s="21" t="n">
        <f aca="false">IF($AG$4=0,0,IF($AG$6=0,0,IF(INDEX($A1600:$AD1600,$AG$4)="",0,IF(INDEX($A1600:$AD1600,$AG$6)&lt;&gt;"NON-COMPLIED",0,IF(COUNTIFS(INDEX($A$3:$AD$1600,0,$AG$4),INDEX($A1600:$AD1600,$AG$4),INDEX($A$3:$AD$1600,0,$AG$6),"NON-COMPLIED")=1,1,0)))))</f>
        <v>0</v>
      </c>
    </row>
    <row r="1601" customFormat="false" ht="15" hidden="false" customHeight="false" outlineLevel="0" collapsed="false">
      <c r="AH1601" s="21" t="n">
        <f aca="false">IF($AG$4=0,0,IF($AG$6=0,0,IF(INDEX($A1601:$AD1601,$AG$4)="",0,IF(INDEX($A1601:$AD1601,$AG$6)&lt;&gt;"NON-COMPLIED",0,IF(COUNTIFS(INDEX($A$3:$AD$1601,0,$AG$4),INDEX($A1601:$AD1601,$AG$4),INDEX($A$3:$AD$1601,0,$AG$6),"NON-COMPLIED")=1,1,0)))))</f>
        <v>0</v>
      </c>
    </row>
    <row r="1602" customFormat="false" ht="15" hidden="false" customHeight="false" outlineLevel="0" collapsed="false">
      <c r="AH1602" s="21" t="n">
        <f aca="false">IF($AG$4=0,0,IF($AG$6=0,0,IF(INDEX($A1602:$AD1602,$AG$4)="",0,IF(INDEX($A1602:$AD1602,$AG$6)&lt;&gt;"NON-COMPLIED",0,IF(COUNTIFS(INDEX($A$3:$AD$1602,0,$AG$4),INDEX($A1602:$AD1602,$AG$4),INDEX($A$3:$AD$1602,0,$AG$6),"NON-COMPLIED")=1,1,0)))))</f>
        <v>0</v>
      </c>
    </row>
    <row r="1603" customFormat="false" ht="15" hidden="false" customHeight="false" outlineLevel="0" collapsed="false">
      <c r="AH1603" s="21" t="n">
        <f aca="false">IF($AG$4=0,0,IF($AG$6=0,0,IF(INDEX($A1603:$AD1603,$AG$4)="",0,IF(INDEX($A1603:$AD1603,$AG$6)&lt;&gt;"NON-COMPLIED",0,IF(COUNTIFS(INDEX($A$3:$AD$1603,0,$AG$4),INDEX($A1603:$AD1603,$AG$4),INDEX($A$3:$AD$1603,0,$AG$6),"NON-COMPLIED")=1,1,0)))))</f>
        <v>0</v>
      </c>
    </row>
    <row r="1604" customFormat="false" ht="15" hidden="false" customHeight="false" outlineLevel="0" collapsed="false">
      <c r="AH1604" s="21" t="n">
        <f aca="false">IF($AG$4=0,0,IF($AG$6=0,0,IF(INDEX($A1604:$AD1604,$AG$4)="",0,IF(INDEX($A1604:$AD1604,$AG$6)&lt;&gt;"NON-COMPLIED",0,IF(COUNTIFS(INDEX($A$3:$AD$1604,0,$AG$4),INDEX($A1604:$AD1604,$AG$4),INDEX($A$3:$AD$1604,0,$AG$6),"NON-COMPLIED")=1,1,0)))))</f>
        <v>0</v>
      </c>
    </row>
    <row r="1605" customFormat="false" ht="15" hidden="false" customHeight="false" outlineLevel="0" collapsed="false">
      <c r="AH1605" s="21" t="n">
        <f aca="false">IF($AG$4=0,0,IF($AG$6=0,0,IF(INDEX($A1605:$AD1605,$AG$4)="",0,IF(INDEX($A1605:$AD1605,$AG$6)&lt;&gt;"NON-COMPLIED",0,IF(COUNTIFS(INDEX($A$3:$AD$1605,0,$AG$4),INDEX($A1605:$AD1605,$AG$4),INDEX($A$3:$AD$1605,0,$AG$6),"NON-COMPLIED")=1,1,0)))))</f>
        <v>0</v>
      </c>
    </row>
    <row r="1606" customFormat="false" ht="15" hidden="false" customHeight="false" outlineLevel="0" collapsed="false">
      <c r="AH1606" s="21" t="n">
        <f aca="false">IF($AG$4=0,0,IF($AG$6=0,0,IF(INDEX($A1606:$AD1606,$AG$4)="",0,IF(INDEX($A1606:$AD1606,$AG$6)&lt;&gt;"NON-COMPLIED",0,IF(COUNTIFS(INDEX($A$3:$AD$1606,0,$AG$4),INDEX($A1606:$AD1606,$AG$4),INDEX($A$3:$AD$1606,0,$AG$6),"NON-COMPLIED")=1,1,0)))))</f>
        <v>0</v>
      </c>
    </row>
    <row r="1607" customFormat="false" ht="15" hidden="false" customHeight="false" outlineLevel="0" collapsed="false">
      <c r="AH1607" s="21" t="n">
        <f aca="false">IF($AG$4=0,0,IF($AG$6=0,0,IF(INDEX($A1607:$AD1607,$AG$4)="",0,IF(INDEX($A1607:$AD1607,$AG$6)&lt;&gt;"NON-COMPLIED",0,IF(COUNTIFS(INDEX($A$3:$AD$1607,0,$AG$4),INDEX($A1607:$AD1607,$AG$4),INDEX($A$3:$AD$1607,0,$AG$6),"NON-COMPLIED")=1,1,0)))))</f>
        <v>0</v>
      </c>
    </row>
    <row r="1608" customFormat="false" ht="15" hidden="false" customHeight="false" outlineLevel="0" collapsed="false">
      <c r="AH1608" s="21" t="n">
        <f aca="false">IF($AG$4=0,0,IF($AG$6=0,0,IF(INDEX($A1608:$AD1608,$AG$4)="",0,IF(INDEX($A1608:$AD1608,$AG$6)&lt;&gt;"NON-COMPLIED",0,IF(COUNTIFS(INDEX($A$3:$AD$1608,0,$AG$4),INDEX($A1608:$AD1608,$AG$4),INDEX($A$3:$AD$1608,0,$AG$6),"NON-COMPLIED")=1,1,0)))))</f>
        <v>0</v>
      </c>
    </row>
    <row r="1609" customFormat="false" ht="15" hidden="false" customHeight="false" outlineLevel="0" collapsed="false">
      <c r="AH1609" s="21" t="n">
        <f aca="false">IF($AG$4=0,0,IF($AG$6=0,0,IF(INDEX($A1609:$AD1609,$AG$4)="",0,IF(INDEX($A1609:$AD1609,$AG$6)&lt;&gt;"NON-COMPLIED",0,IF(COUNTIFS(INDEX($A$3:$AD$1609,0,$AG$4),INDEX($A1609:$AD1609,$AG$4),INDEX($A$3:$AD$1609,0,$AG$6),"NON-COMPLIED")=1,1,0)))))</f>
        <v>0</v>
      </c>
    </row>
    <row r="1610" customFormat="false" ht="15" hidden="false" customHeight="false" outlineLevel="0" collapsed="false">
      <c r="AH1610" s="21" t="n">
        <f aca="false">IF($AG$4=0,0,IF($AG$6=0,0,IF(INDEX($A1610:$AD1610,$AG$4)="",0,IF(INDEX($A1610:$AD1610,$AG$6)&lt;&gt;"NON-COMPLIED",0,IF(COUNTIFS(INDEX($A$3:$AD$1610,0,$AG$4),INDEX($A1610:$AD1610,$AG$4),INDEX($A$3:$AD$1610,0,$AG$6),"NON-COMPLIED")=1,1,0)))))</f>
        <v>0</v>
      </c>
    </row>
    <row r="1611" customFormat="false" ht="15" hidden="false" customHeight="false" outlineLevel="0" collapsed="false">
      <c r="AH1611" s="21" t="n">
        <f aca="false">IF($AG$4=0,0,IF($AG$6=0,0,IF(INDEX($A1611:$AD1611,$AG$4)="",0,IF(INDEX($A1611:$AD1611,$AG$6)&lt;&gt;"NON-COMPLIED",0,IF(COUNTIFS(INDEX($A$3:$AD$1611,0,$AG$4),INDEX($A1611:$AD1611,$AG$4),INDEX($A$3:$AD$1611,0,$AG$6),"NON-COMPLIED")=1,1,0)))))</f>
        <v>0</v>
      </c>
    </row>
    <row r="1612" customFormat="false" ht="15" hidden="false" customHeight="false" outlineLevel="0" collapsed="false">
      <c r="AH1612" s="21" t="n">
        <f aca="false">IF($AG$4=0,0,IF($AG$6=0,0,IF(INDEX($A1612:$AD1612,$AG$4)="",0,IF(INDEX($A1612:$AD1612,$AG$6)&lt;&gt;"NON-COMPLIED",0,IF(COUNTIFS(INDEX($A$3:$AD$1612,0,$AG$4),INDEX($A1612:$AD1612,$AG$4),INDEX($A$3:$AD$1612,0,$AG$6),"NON-COMPLIED")=1,1,0)))))</f>
        <v>0</v>
      </c>
    </row>
    <row r="1613" customFormat="false" ht="15" hidden="false" customHeight="false" outlineLevel="0" collapsed="false">
      <c r="AH1613" s="21" t="n">
        <f aca="false">IF($AG$4=0,0,IF($AG$6=0,0,IF(INDEX($A1613:$AD1613,$AG$4)="",0,IF(INDEX($A1613:$AD1613,$AG$6)&lt;&gt;"NON-COMPLIED",0,IF(COUNTIFS(INDEX($A$3:$AD$1613,0,$AG$4),INDEX($A1613:$AD1613,$AG$4),INDEX($A$3:$AD$1613,0,$AG$6),"NON-COMPLIED")=1,1,0)))))</f>
        <v>0</v>
      </c>
    </row>
    <row r="1614" customFormat="false" ht="15" hidden="false" customHeight="false" outlineLevel="0" collapsed="false">
      <c r="AH1614" s="21" t="n">
        <f aca="false">IF($AG$4=0,0,IF($AG$6=0,0,IF(INDEX($A1614:$AD1614,$AG$4)="",0,IF(INDEX($A1614:$AD1614,$AG$6)&lt;&gt;"NON-COMPLIED",0,IF(COUNTIFS(INDEX($A$3:$AD$1614,0,$AG$4),INDEX($A1614:$AD1614,$AG$4),INDEX($A$3:$AD$1614,0,$AG$6),"NON-COMPLIED")=1,1,0)))))</f>
        <v>0</v>
      </c>
    </row>
    <row r="1615" customFormat="false" ht="15" hidden="false" customHeight="false" outlineLevel="0" collapsed="false">
      <c r="AH1615" s="21" t="n">
        <f aca="false">IF($AG$4=0,0,IF($AG$6=0,0,IF(INDEX($A1615:$AD1615,$AG$4)="",0,IF(INDEX($A1615:$AD1615,$AG$6)&lt;&gt;"NON-COMPLIED",0,IF(COUNTIFS(INDEX($A$3:$AD$1615,0,$AG$4),INDEX($A1615:$AD1615,$AG$4),INDEX($A$3:$AD$1615,0,$AG$6),"NON-COMPLIED")=1,1,0)))))</f>
        <v>0</v>
      </c>
    </row>
    <row r="1616" customFormat="false" ht="15" hidden="false" customHeight="false" outlineLevel="0" collapsed="false">
      <c r="AH1616" s="21" t="n">
        <f aca="false">IF($AG$4=0,0,IF($AG$6=0,0,IF(INDEX($A1616:$AD1616,$AG$4)="",0,IF(INDEX($A1616:$AD1616,$AG$6)&lt;&gt;"NON-COMPLIED",0,IF(COUNTIFS(INDEX($A$3:$AD$1616,0,$AG$4),INDEX($A1616:$AD1616,$AG$4),INDEX($A$3:$AD$1616,0,$AG$6),"NON-COMPLIED")=1,1,0)))))</f>
        <v>0</v>
      </c>
    </row>
    <row r="1617" customFormat="false" ht="15" hidden="false" customHeight="false" outlineLevel="0" collapsed="false">
      <c r="AH1617" s="21" t="n">
        <f aca="false">IF($AG$4=0,0,IF($AG$6=0,0,IF(INDEX($A1617:$AD1617,$AG$4)="",0,IF(INDEX($A1617:$AD1617,$AG$6)&lt;&gt;"NON-COMPLIED",0,IF(COUNTIFS(INDEX($A$3:$AD$1617,0,$AG$4),INDEX($A1617:$AD1617,$AG$4),INDEX($A$3:$AD$1617,0,$AG$6),"NON-COMPLIED")=1,1,0)))))</f>
        <v>0</v>
      </c>
    </row>
    <row r="1618" customFormat="false" ht="15" hidden="false" customHeight="false" outlineLevel="0" collapsed="false">
      <c r="AH1618" s="21" t="n">
        <f aca="false">IF($AG$4=0,0,IF($AG$6=0,0,IF(INDEX($A1618:$AD1618,$AG$4)="",0,IF(INDEX($A1618:$AD1618,$AG$6)&lt;&gt;"NON-COMPLIED",0,IF(COUNTIFS(INDEX($A$3:$AD$1618,0,$AG$4),INDEX($A1618:$AD1618,$AG$4),INDEX($A$3:$AD$1618,0,$AG$6),"NON-COMPLIED")=1,1,0)))))</f>
        <v>0</v>
      </c>
    </row>
    <row r="1619" customFormat="false" ht="15" hidden="false" customHeight="false" outlineLevel="0" collapsed="false">
      <c r="AH1619" s="21" t="n">
        <f aca="false">IF($AG$4=0,0,IF($AG$6=0,0,IF(INDEX($A1619:$AD1619,$AG$4)="",0,IF(INDEX($A1619:$AD1619,$AG$6)&lt;&gt;"NON-COMPLIED",0,IF(COUNTIFS(INDEX($A$3:$AD$1619,0,$AG$4),INDEX($A1619:$AD1619,$AG$4),INDEX($A$3:$AD$1619,0,$AG$6),"NON-COMPLIED")=1,1,0)))))</f>
        <v>0</v>
      </c>
    </row>
    <row r="1620" customFormat="false" ht="15" hidden="false" customHeight="false" outlineLevel="0" collapsed="false">
      <c r="AH1620" s="21" t="n">
        <f aca="false">IF($AG$4=0,0,IF($AG$6=0,0,IF(INDEX($A1620:$AD1620,$AG$4)="",0,IF(INDEX($A1620:$AD1620,$AG$6)&lt;&gt;"NON-COMPLIED",0,IF(COUNTIFS(INDEX($A$3:$AD$1620,0,$AG$4),INDEX($A1620:$AD1620,$AG$4),INDEX($A$3:$AD$1620,0,$AG$6),"NON-COMPLIED")=1,1,0)))))</f>
        <v>0</v>
      </c>
    </row>
    <row r="1621" customFormat="false" ht="15" hidden="false" customHeight="false" outlineLevel="0" collapsed="false">
      <c r="AH1621" s="21" t="n">
        <f aca="false">IF($AG$4=0,0,IF($AG$6=0,0,IF(INDEX($A1621:$AD1621,$AG$4)="",0,IF(INDEX($A1621:$AD1621,$AG$6)&lt;&gt;"NON-COMPLIED",0,IF(COUNTIFS(INDEX($A$3:$AD$1621,0,$AG$4),INDEX($A1621:$AD1621,$AG$4),INDEX($A$3:$AD$1621,0,$AG$6),"NON-COMPLIED")=1,1,0)))))</f>
        <v>0</v>
      </c>
    </row>
    <row r="1622" customFormat="false" ht="15" hidden="false" customHeight="false" outlineLevel="0" collapsed="false">
      <c r="AH1622" s="21" t="n">
        <f aca="false">IF($AG$4=0,0,IF($AG$6=0,0,IF(INDEX($A1622:$AD1622,$AG$4)="",0,IF(INDEX($A1622:$AD1622,$AG$6)&lt;&gt;"NON-COMPLIED",0,IF(COUNTIFS(INDEX($A$3:$AD$1622,0,$AG$4),INDEX($A1622:$AD1622,$AG$4),INDEX($A$3:$AD$1622,0,$AG$6),"NON-COMPLIED")=1,1,0)))))</f>
        <v>0</v>
      </c>
    </row>
    <row r="1623" customFormat="false" ht="15" hidden="false" customHeight="false" outlineLevel="0" collapsed="false">
      <c r="AH1623" s="21" t="n">
        <f aca="false">IF($AG$4=0,0,IF($AG$6=0,0,IF(INDEX($A1623:$AD1623,$AG$4)="",0,IF(INDEX($A1623:$AD1623,$AG$6)&lt;&gt;"NON-COMPLIED",0,IF(COUNTIFS(INDEX($A$3:$AD$1623,0,$AG$4),INDEX($A1623:$AD1623,$AG$4),INDEX($A$3:$AD$1623,0,$AG$6),"NON-COMPLIED")=1,1,0)))))</f>
        <v>0</v>
      </c>
    </row>
    <row r="1624" customFormat="false" ht="15" hidden="false" customHeight="false" outlineLevel="0" collapsed="false">
      <c r="AH1624" s="21" t="n">
        <f aca="false">IF($AG$4=0,0,IF($AG$6=0,0,IF(INDEX($A1624:$AD1624,$AG$4)="",0,IF(INDEX($A1624:$AD1624,$AG$6)&lt;&gt;"NON-COMPLIED",0,IF(COUNTIFS(INDEX($A$3:$AD$1624,0,$AG$4),INDEX($A1624:$AD1624,$AG$4),INDEX($A$3:$AD$1624,0,$AG$6),"NON-COMPLIED")=1,1,0)))))</f>
        <v>0</v>
      </c>
    </row>
    <row r="1625" customFormat="false" ht="15" hidden="false" customHeight="false" outlineLevel="0" collapsed="false">
      <c r="AH1625" s="21" t="n">
        <f aca="false">IF($AG$4=0,0,IF($AG$6=0,0,IF(INDEX($A1625:$AD1625,$AG$4)="",0,IF(INDEX($A1625:$AD1625,$AG$6)&lt;&gt;"NON-COMPLIED",0,IF(COUNTIFS(INDEX($A$3:$AD$1625,0,$AG$4),INDEX($A1625:$AD1625,$AG$4),INDEX($A$3:$AD$1625,0,$AG$6),"NON-COMPLIED")=1,1,0)))))</f>
        <v>0</v>
      </c>
    </row>
    <row r="1626" customFormat="false" ht="15" hidden="false" customHeight="false" outlineLevel="0" collapsed="false">
      <c r="AH1626" s="21" t="n">
        <f aca="false">IF($AG$4=0,0,IF($AG$6=0,0,IF(INDEX($A1626:$AD1626,$AG$4)="",0,IF(INDEX($A1626:$AD1626,$AG$6)&lt;&gt;"NON-COMPLIED",0,IF(COUNTIFS(INDEX($A$3:$AD$1626,0,$AG$4),INDEX($A1626:$AD1626,$AG$4),INDEX($A$3:$AD$1626,0,$AG$6),"NON-COMPLIED")=1,1,0)))))</f>
        <v>0</v>
      </c>
    </row>
    <row r="1627" customFormat="false" ht="15" hidden="false" customHeight="false" outlineLevel="0" collapsed="false">
      <c r="AH1627" s="21" t="n">
        <f aca="false">IF($AG$4=0,0,IF($AG$6=0,0,IF(INDEX($A1627:$AD1627,$AG$4)="",0,IF(INDEX($A1627:$AD1627,$AG$6)&lt;&gt;"NON-COMPLIED",0,IF(COUNTIFS(INDEX($A$3:$AD$1627,0,$AG$4),INDEX($A1627:$AD1627,$AG$4),INDEX($A$3:$AD$1627,0,$AG$6),"NON-COMPLIED")=1,1,0)))))</f>
        <v>0</v>
      </c>
    </row>
    <row r="1628" customFormat="false" ht="15" hidden="false" customHeight="false" outlineLevel="0" collapsed="false">
      <c r="AH1628" s="21" t="n">
        <f aca="false">IF($AG$4=0,0,IF($AG$6=0,0,IF(INDEX($A1628:$AD1628,$AG$4)="",0,IF(INDEX($A1628:$AD1628,$AG$6)&lt;&gt;"NON-COMPLIED",0,IF(COUNTIFS(INDEX($A$3:$AD$1628,0,$AG$4),INDEX($A1628:$AD1628,$AG$4),INDEX($A$3:$AD$1628,0,$AG$6),"NON-COMPLIED")=1,1,0)))))</f>
        <v>0</v>
      </c>
    </row>
    <row r="1629" customFormat="false" ht="15" hidden="false" customHeight="false" outlineLevel="0" collapsed="false">
      <c r="AH1629" s="21" t="n">
        <f aca="false">IF($AG$4=0,0,IF($AG$6=0,0,IF(INDEX($A1629:$AD1629,$AG$4)="",0,IF(INDEX($A1629:$AD1629,$AG$6)&lt;&gt;"NON-COMPLIED",0,IF(COUNTIFS(INDEX($A$3:$AD$1629,0,$AG$4),INDEX($A1629:$AD1629,$AG$4),INDEX($A$3:$AD$1629,0,$AG$6),"NON-COMPLIED")=1,1,0)))))</f>
        <v>0</v>
      </c>
    </row>
    <row r="1630" customFormat="false" ht="15" hidden="false" customHeight="false" outlineLevel="0" collapsed="false">
      <c r="AH1630" s="21" t="n">
        <f aca="false">IF($AG$4=0,0,IF($AG$6=0,0,IF(INDEX($A1630:$AD1630,$AG$4)="",0,IF(INDEX($A1630:$AD1630,$AG$6)&lt;&gt;"NON-COMPLIED",0,IF(COUNTIFS(INDEX($A$3:$AD$1630,0,$AG$4),INDEX($A1630:$AD1630,$AG$4),INDEX($A$3:$AD$1630,0,$AG$6),"NON-COMPLIED")=1,1,0)))))</f>
        <v>0</v>
      </c>
    </row>
    <row r="1631" customFormat="false" ht="15" hidden="false" customHeight="false" outlineLevel="0" collapsed="false">
      <c r="AH1631" s="21" t="n">
        <f aca="false">IF($AG$4=0,0,IF($AG$6=0,0,IF(INDEX($A1631:$AD1631,$AG$4)="",0,IF(INDEX($A1631:$AD1631,$AG$6)&lt;&gt;"NON-COMPLIED",0,IF(COUNTIFS(INDEX($A$3:$AD$1631,0,$AG$4),INDEX($A1631:$AD1631,$AG$4),INDEX($A$3:$AD$1631,0,$AG$6),"NON-COMPLIED")=1,1,0)))))</f>
        <v>0</v>
      </c>
    </row>
    <row r="1632" customFormat="false" ht="15" hidden="false" customHeight="false" outlineLevel="0" collapsed="false">
      <c r="AH1632" s="21" t="n">
        <f aca="false">IF($AG$4=0,0,IF($AG$6=0,0,IF(INDEX($A1632:$AD1632,$AG$4)="",0,IF(INDEX($A1632:$AD1632,$AG$6)&lt;&gt;"NON-COMPLIED",0,IF(COUNTIFS(INDEX($A$3:$AD$1632,0,$AG$4),INDEX($A1632:$AD1632,$AG$4),INDEX($A$3:$AD$1632,0,$AG$6),"NON-COMPLIED")=1,1,0)))))</f>
        <v>0</v>
      </c>
    </row>
    <row r="1633" customFormat="false" ht="15" hidden="false" customHeight="false" outlineLevel="0" collapsed="false">
      <c r="AH1633" s="21" t="n">
        <f aca="false">IF($AG$4=0,0,IF($AG$6=0,0,IF(INDEX($A1633:$AD1633,$AG$4)="",0,IF(INDEX($A1633:$AD1633,$AG$6)&lt;&gt;"NON-COMPLIED",0,IF(COUNTIFS(INDEX($A$3:$AD$1633,0,$AG$4),INDEX($A1633:$AD1633,$AG$4),INDEX($A$3:$AD$1633,0,$AG$6),"NON-COMPLIED")=1,1,0)))))</f>
        <v>0</v>
      </c>
    </row>
    <row r="1634" customFormat="false" ht="15" hidden="false" customHeight="false" outlineLevel="0" collapsed="false">
      <c r="AH1634" s="21" t="n">
        <f aca="false">IF($AG$4=0,0,IF($AG$6=0,0,IF(INDEX($A1634:$AD1634,$AG$4)="",0,IF(INDEX($A1634:$AD1634,$AG$6)&lt;&gt;"NON-COMPLIED",0,IF(COUNTIFS(INDEX($A$3:$AD$1634,0,$AG$4),INDEX($A1634:$AD1634,$AG$4),INDEX($A$3:$AD$1634,0,$AG$6),"NON-COMPLIED")=1,1,0)))))</f>
        <v>0</v>
      </c>
    </row>
    <row r="1635" customFormat="false" ht="15" hidden="false" customHeight="false" outlineLevel="0" collapsed="false">
      <c r="AH1635" s="21" t="n">
        <f aca="false">IF($AG$4=0,0,IF($AG$6=0,0,IF(INDEX($A1635:$AD1635,$AG$4)="",0,IF(INDEX($A1635:$AD1635,$AG$6)&lt;&gt;"NON-COMPLIED",0,IF(COUNTIFS(INDEX($A$3:$AD$1635,0,$AG$4),INDEX($A1635:$AD1635,$AG$4),INDEX($A$3:$AD$1635,0,$AG$6),"NON-COMPLIED")=1,1,0)))))</f>
        <v>0</v>
      </c>
    </row>
    <row r="1636" customFormat="false" ht="15" hidden="false" customHeight="false" outlineLevel="0" collapsed="false">
      <c r="AH1636" s="21" t="n">
        <f aca="false">IF($AG$4=0,0,IF($AG$6=0,0,IF(INDEX($A1636:$AD1636,$AG$4)="",0,IF(INDEX($A1636:$AD1636,$AG$6)&lt;&gt;"NON-COMPLIED",0,IF(COUNTIFS(INDEX($A$3:$AD$1636,0,$AG$4),INDEX($A1636:$AD1636,$AG$4),INDEX($A$3:$AD$1636,0,$AG$6),"NON-COMPLIED")=1,1,0)))))</f>
        <v>0</v>
      </c>
    </row>
    <row r="1637" customFormat="false" ht="15" hidden="false" customHeight="false" outlineLevel="0" collapsed="false">
      <c r="AH1637" s="21" t="n">
        <f aca="false">IF($AG$4=0,0,IF($AG$6=0,0,IF(INDEX($A1637:$AD1637,$AG$4)="",0,IF(INDEX($A1637:$AD1637,$AG$6)&lt;&gt;"NON-COMPLIED",0,IF(COUNTIFS(INDEX($A$3:$AD$1637,0,$AG$4),INDEX($A1637:$AD1637,$AG$4),INDEX($A$3:$AD$1637,0,$AG$6),"NON-COMPLIED")=1,1,0)))))</f>
        <v>0</v>
      </c>
    </row>
    <row r="1638" customFormat="false" ht="15" hidden="false" customHeight="false" outlineLevel="0" collapsed="false">
      <c r="AH1638" s="21" t="n">
        <f aca="false">IF($AG$4=0,0,IF($AG$6=0,0,IF(INDEX($A1638:$AD1638,$AG$4)="",0,IF(INDEX($A1638:$AD1638,$AG$6)&lt;&gt;"NON-COMPLIED",0,IF(COUNTIFS(INDEX($A$3:$AD$1638,0,$AG$4),INDEX($A1638:$AD1638,$AG$4),INDEX($A$3:$AD$1638,0,$AG$6),"NON-COMPLIED")=1,1,0)))))</f>
        <v>0</v>
      </c>
    </row>
    <row r="1639" customFormat="false" ht="15" hidden="false" customHeight="false" outlineLevel="0" collapsed="false">
      <c r="AH1639" s="21" t="n">
        <f aca="false">IF($AG$4=0,0,IF($AG$6=0,0,IF(INDEX($A1639:$AD1639,$AG$4)="",0,IF(INDEX($A1639:$AD1639,$AG$6)&lt;&gt;"NON-COMPLIED",0,IF(COUNTIFS(INDEX($A$3:$AD$1639,0,$AG$4),INDEX($A1639:$AD1639,$AG$4),INDEX($A$3:$AD$1639,0,$AG$6),"NON-COMPLIED")=1,1,0)))))</f>
        <v>0</v>
      </c>
    </row>
    <row r="1640" customFormat="false" ht="15" hidden="false" customHeight="false" outlineLevel="0" collapsed="false">
      <c r="AH1640" s="21" t="n">
        <f aca="false">IF($AG$4=0,0,IF($AG$6=0,0,IF(INDEX($A1640:$AD1640,$AG$4)="",0,IF(INDEX($A1640:$AD1640,$AG$6)&lt;&gt;"NON-COMPLIED",0,IF(COUNTIFS(INDEX($A$3:$AD$1640,0,$AG$4),INDEX($A1640:$AD1640,$AG$4),INDEX($A$3:$AD$1640,0,$AG$6),"NON-COMPLIED")=1,1,0)))))</f>
        <v>0</v>
      </c>
    </row>
    <row r="1641" customFormat="false" ht="15" hidden="false" customHeight="false" outlineLevel="0" collapsed="false">
      <c r="AH1641" s="21" t="n">
        <f aca="false">IF($AG$4=0,0,IF($AG$6=0,0,IF(INDEX($A1641:$AD1641,$AG$4)="",0,IF(INDEX($A1641:$AD1641,$AG$6)&lt;&gt;"NON-COMPLIED",0,IF(COUNTIFS(INDEX($A$3:$AD$1641,0,$AG$4),INDEX($A1641:$AD1641,$AG$4),INDEX($A$3:$AD$1641,0,$AG$6),"NON-COMPLIED")=1,1,0)))))</f>
        <v>0</v>
      </c>
    </row>
    <row r="1642" customFormat="false" ht="15" hidden="false" customHeight="false" outlineLevel="0" collapsed="false">
      <c r="AH1642" s="21" t="n">
        <f aca="false">IF($AG$4=0,0,IF($AG$6=0,0,IF(INDEX($A1642:$AD1642,$AG$4)="",0,IF(INDEX($A1642:$AD1642,$AG$6)&lt;&gt;"NON-COMPLIED",0,IF(COUNTIFS(INDEX($A$3:$AD$1642,0,$AG$4),INDEX($A1642:$AD1642,$AG$4),INDEX($A$3:$AD$1642,0,$AG$6),"NON-COMPLIED")=1,1,0)))))</f>
        <v>0</v>
      </c>
    </row>
    <row r="1643" customFormat="false" ht="15" hidden="false" customHeight="false" outlineLevel="0" collapsed="false">
      <c r="AH1643" s="21" t="n">
        <f aca="false">IF($AG$4=0,0,IF($AG$6=0,0,IF(INDEX($A1643:$AD1643,$AG$4)="",0,IF(INDEX($A1643:$AD1643,$AG$6)&lt;&gt;"NON-COMPLIED",0,IF(COUNTIFS(INDEX($A$3:$AD$1643,0,$AG$4),INDEX($A1643:$AD1643,$AG$4),INDEX($A$3:$AD$1643,0,$AG$6),"NON-COMPLIED")=1,1,0)))))</f>
        <v>0</v>
      </c>
    </row>
    <row r="1644" customFormat="false" ht="15" hidden="false" customHeight="false" outlineLevel="0" collapsed="false">
      <c r="AH1644" s="21" t="n">
        <f aca="false">IF($AG$4=0,0,IF($AG$6=0,0,IF(INDEX($A1644:$AD1644,$AG$4)="",0,IF(INDEX($A1644:$AD1644,$AG$6)&lt;&gt;"NON-COMPLIED",0,IF(COUNTIFS(INDEX($A$3:$AD$1644,0,$AG$4),INDEX($A1644:$AD1644,$AG$4),INDEX($A$3:$AD$1644,0,$AG$6),"NON-COMPLIED")=1,1,0)))))</f>
        <v>0</v>
      </c>
    </row>
    <row r="1645" customFormat="false" ht="15" hidden="false" customHeight="false" outlineLevel="0" collapsed="false">
      <c r="AH1645" s="21" t="n">
        <f aca="false">IF($AG$4=0,0,IF($AG$6=0,0,IF(INDEX($A1645:$AD1645,$AG$4)="",0,IF(INDEX($A1645:$AD1645,$AG$6)&lt;&gt;"NON-COMPLIED",0,IF(COUNTIFS(INDEX($A$3:$AD$1645,0,$AG$4),INDEX($A1645:$AD1645,$AG$4),INDEX($A$3:$AD$1645,0,$AG$6),"NON-COMPLIED")=1,1,0)))))</f>
        <v>0</v>
      </c>
    </row>
    <row r="1646" customFormat="false" ht="15" hidden="false" customHeight="false" outlineLevel="0" collapsed="false">
      <c r="AH1646" s="21" t="n">
        <f aca="false">IF($AG$4=0,0,IF($AG$6=0,0,IF(INDEX($A1646:$AD1646,$AG$4)="",0,IF(INDEX($A1646:$AD1646,$AG$6)&lt;&gt;"NON-COMPLIED",0,IF(COUNTIFS(INDEX($A$3:$AD$1646,0,$AG$4),INDEX($A1646:$AD1646,$AG$4),INDEX($A$3:$AD$1646,0,$AG$6),"NON-COMPLIED")=1,1,0)))))</f>
        <v>0</v>
      </c>
    </row>
    <row r="1647" customFormat="false" ht="15" hidden="false" customHeight="false" outlineLevel="0" collapsed="false">
      <c r="AH1647" s="21" t="n">
        <f aca="false">IF($AG$4=0,0,IF($AG$6=0,0,IF(INDEX($A1647:$AD1647,$AG$4)="",0,IF(INDEX($A1647:$AD1647,$AG$6)&lt;&gt;"NON-COMPLIED",0,IF(COUNTIFS(INDEX($A$3:$AD$1647,0,$AG$4),INDEX($A1647:$AD1647,$AG$4),INDEX($A$3:$AD$1647,0,$AG$6),"NON-COMPLIED")=1,1,0)))))</f>
        <v>0</v>
      </c>
    </row>
    <row r="1648" customFormat="false" ht="15" hidden="false" customHeight="false" outlineLevel="0" collapsed="false">
      <c r="AH1648" s="21" t="n">
        <f aca="false">IF($AG$4=0,0,IF($AG$6=0,0,IF(INDEX($A1648:$AD1648,$AG$4)="",0,IF(INDEX($A1648:$AD1648,$AG$6)&lt;&gt;"NON-COMPLIED",0,IF(COUNTIFS(INDEX($A$3:$AD$1648,0,$AG$4),INDEX($A1648:$AD1648,$AG$4),INDEX($A$3:$AD$1648,0,$AG$6),"NON-COMPLIED")=1,1,0)))))</f>
        <v>0</v>
      </c>
    </row>
    <row r="1649" customFormat="false" ht="15" hidden="false" customHeight="false" outlineLevel="0" collapsed="false">
      <c r="AH1649" s="21" t="n">
        <f aca="false">IF($AG$4=0,0,IF($AG$6=0,0,IF(INDEX($A1649:$AD1649,$AG$4)="",0,IF(INDEX($A1649:$AD1649,$AG$6)&lt;&gt;"NON-COMPLIED",0,IF(COUNTIFS(INDEX($A$3:$AD$1649,0,$AG$4),INDEX($A1649:$AD1649,$AG$4),INDEX($A$3:$AD$1649,0,$AG$6),"NON-COMPLIED")=1,1,0)))))</f>
        <v>0</v>
      </c>
    </row>
    <row r="1650" customFormat="false" ht="15" hidden="false" customHeight="false" outlineLevel="0" collapsed="false">
      <c r="AH1650" s="21" t="n">
        <f aca="false">IF($AG$4=0,0,IF($AG$6=0,0,IF(INDEX($A1650:$AD1650,$AG$4)="",0,IF(INDEX($A1650:$AD1650,$AG$6)&lt;&gt;"NON-COMPLIED",0,IF(COUNTIFS(INDEX($A$3:$AD$1650,0,$AG$4),INDEX($A1650:$AD1650,$AG$4),INDEX($A$3:$AD$1650,0,$AG$6),"NON-COMPLIED")=1,1,0)))))</f>
        <v>0</v>
      </c>
    </row>
    <row r="1651" customFormat="false" ht="15" hidden="false" customHeight="false" outlineLevel="0" collapsed="false">
      <c r="AH1651" s="21" t="n">
        <f aca="false">IF($AG$4=0,0,IF($AG$6=0,0,IF(INDEX($A1651:$AD1651,$AG$4)="",0,IF(INDEX($A1651:$AD1651,$AG$6)&lt;&gt;"NON-COMPLIED",0,IF(COUNTIFS(INDEX($A$3:$AD$1651,0,$AG$4),INDEX($A1651:$AD1651,$AG$4),INDEX($A$3:$AD$1651,0,$AG$6),"NON-COMPLIED")=1,1,0)))))</f>
        <v>0</v>
      </c>
    </row>
    <row r="1652" customFormat="false" ht="15" hidden="false" customHeight="false" outlineLevel="0" collapsed="false">
      <c r="AH1652" s="21" t="n">
        <f aca="false">IF($AG$4=0,0,IF($AG$6=0,0,IF(INDEX($A1652:$AD1652,$AG$4)="",0,IF(INDEX($A1652:$AD1652,$AG$6)&lt;&gt;"NON-COMPLIED",0,IF(COUNTIFS(INDEX($A$3:$AD$1652,0,$AG$4),INDEX($A1652:$AD1652,$AG$4),INDEX($A$3:$AD$1652,0,$AG$6),"NON-COMPLIED")=1,1,0)))))</f>
        <v>0</v>
      </c>
    </row>
    <row r="1653" customFormat="false" ht="15" hidden="false" customHeight="false" outlineLevel="0" collapsed="false">
      <c r="AH1653" s="21" t="n">
        <f aca="false">IF($AG$4=0,0,IF($AG$6=0,0,IF(INDEX($A1653:$AD1653,$AG$4)="",0,IF(INDEX($A1653:$AD1653,$AG$6)&lt;&gt;"NON-COMPLIED",0,IF(COUNTIFS(INDEX($A$3:$AD$1653,0,$AG$4),INDEX($A1653:$AD1653,$AG$4),INDEX($A$3:$AD$1653,0,$AG$6),"NON-COMPLIED")=1,1,0)))))</f>
        <v>0</v>
      </c>
    </row>
    <row r="1654" customFormat="false" ht="15" hidden="false" customHeight="false" outlineLevel="0" collapsed="false">
      <c r="AH1654" s="21" t="n">
        <f aca="false">IF($AG$4=0,0,IF($AG$6=0,0,IF(INDEX($A1654:$AD1654,$AG$4)="",0,IF(INDEX($A1654:$AD1654,$AG$6)&lt;&gt;"NON-COMPLIED",0,IF(COUNTIFS(INDEX($A$3:$AD$1654,0,$AG$4),INDEX($A1654:$AD1654,$AG$4),INDEX($A$3:$AD$1654,0,$AG$6),"NON-COMPLIED")=1,1,0)))))</f>
        <v>0</v>
      </c>
    </row>
    <row r="1655" customFormat="false" ht="15" hidden="false" customHeight="false" outlineLevel="0" collapsed="false">
      <c r="AH1655" s="21" t="n">
        <f aca="false">IF($AG$4=0,0,IF($AG$6=0,0,IF(INDEX($A1655:$AD1655,$AG$4)="",0,IF(INDEX($A1655:$AD1655,$AG$6)&lt;&gt;"NON-COMPLIED",0,IF(COUNTIFS(INDEX($A$3:$AD$1655,0,$AG$4),INDEX($A1655:$AD1655,$AG$4),INDEX($A$3:$AD$1655,0,$AG$6),"NON-COMPLIED")=1,1,0)))))</f>
        <v>0</v>
      </c>
    </row>
    <row r="1656" customFormat="false" ht="15" hidden="false" customHeight="false" outlineLevel="0" collapsed="false">
      <c r="AH1656" s="21" t="n">
        <f aca="false">IF($AG$4=0,0,IF($AG$6=0,0,IF(INDEX($A1656:$AD1656,$AG$4)="",0,IF(INDEX($A1656:$AD1656,$AG$6)&lt;&gt;"NON-COMPLIED",0,IF(COUNTIFS(INDEX($A$3:$AD$1656,0,$AG$4),INDEX($A1656:$AD1656,$AG$4),INDEX($A$3:$AD$1656,0,$AG$6),"NON-COMPLIED")=1,1,0)))))</f>
        <v>0</v>
      </c>
    </row>
    <row r="1657" customFormat="false" ht="15" hidden="false" customHeight="false" outlineLevel="0" collapsed="false">
      <c r="AH1657" s="21" t="n">
        <f aca="false">IF($AG$4=0,0,IF($AG$6=0,0,IF(INDEX($A1657:$AD1657,$AG$4)="",0,IF(INDEX($A1657:$AD1657,$AG$6)&lt;&gt;"NON-COMPLIED",0,IF(COUNTIFS(INDEX($A$3:$AD$1657,0,$AG$4),INDEX($A1657:$AD1657,$AG$4),INDEX($A$3:$AD$1657,0,$AG$6),"NON-COMPLIED")=1,1,0)))))</f>
        <v>0</v>
      </c>
    </row>
    <row r="1658" customFormat="false" ht="15" hidden="false" customHeight="false" outlineLevel="0" collapsed="false">
      <c r="AH1658" s="21" t="n">
        <f aca="false">IF($AG$4=0,0,IF($AG$6=0,0,IF(INDEX($A1658:$AD1658,$AG$4)="",0,IF(INDEX($A1658:$AD1658,$AG$6)&lt;&gt;"NON-COMPLIED",0,IF(COUNTIFS(INDEX($A$3:$AD$1658,0,$AG$4),INDEX($A1658:$AD1658,$AG$4),INDEX($A$3:$AD$1658,0,$AG$6),"NON-COMPLIED")=1,1,0)))))</f>
        <v>0</v>
      </c>
    </row>
    <row r="1659" customFormat="false" ht="15" hidden="false" customHeight="false" outlineLevel="0" collapsed="false">
      <c r="AH1659" s="21" t="n">
        <f aca="false">IF($AG$4=0,0,IF($AG$6=0,0,IF(INDEX($A1659:$AD1659,$AG$4)="",0,IF(INDEX($A1659:$AD1659,$AG$6)&lt;&gt;"NON-COMPLIED",0,IF(COUNTIFS(INDEX($A$3:$AD$1659,0,$AG$4),INDEX($A1659:$AD1659,$AG$4),INDEX($A$3:$AD$1659,0,$AG$6),"NON-COMPLIED")=1,1,0)))))</f>
        <v>0</v>
      </c>
    </row>
    <row r="1660" customFormat="false" ht="15" hidden="false" customHeight="false" outlineLevel="0" collapsed="false">
      <c r="AH1660" s="21" t="n">
        <f aca="false">IF($AG$4=0,0,IF($AG$6=0,0,IF(INDEX($A1660:$AD1660,$AG$4)="",0,IF(INDEX($A1660:$AD1660,$AG$6)&lt;&gt;"NON-COMPLIED",0,IF(COUNTIFS(INDEX($A$3:$AD$1660,0,$AG$4),INDEX($A1660:$AD1660,$AG$4),INDEX($A$3:$AD$1660,0,$AG$6),"NON-COMPLIED")=1,1,0)))))</f>
        <v>0</v>
      </c>
    </row>
    <row r="1661" customFormat="false" ht="15" hidden="false" customHeight="false" outlineLevel="0" collapsed="false">
      <c r="AH1661" s="21" t="n">
        <f aca="false">IF($AG$4=0,0,IF($AG$6=0,0,IF(INDEX($A1661:$AD1661,$AG$4)="",0,IF(INDEX($A1661:$AD1661,$AG$6)&lt;&gt;"NON-COMPLIED",0,IF(COUNTIFS(INDEX($A$3:$AD$1661,0,$AG$4),INDEX($A1661:$AD1661,$AG$4),INDEX($A$3:$AD$1661,0,$AG$6),"NON-COMPLIED")=1,1,0)))))</f>
        <v>0</v>
      </c>
    </row>
    <row r="1662" customFormat="false" ht="15" hidden="false" customHeight="false" outlineLevel="0" collapsed="false">
      <c r="AH1662" s="21" t="n">
        <f aca="false">IF($AG$4=0,0,IF($AG$6=0,0,IF(INDEX($A1662:$AD1662,$AG$4)="",0,IF(INDEX($A1662:$AD1662,$AG$6)&lt;&gt;"NON-COMPLIED",0,IF(COUNTIFS(INDEX($A$3:$AD$1662,0,$AG$4),INDEX($A1662:$AD1662,$AG$4),INDEX($A$3:$AD$1662,0,$AG$6),"NON-COMPLIED")=1,1,0)))))</f>
        <v>0</v>
      </c>
    </row>
    <row r="1663" customFormat="false" ht="15" hidden="false" customHeight="false" outlineLevel="0" collapsed="false">
      <c r="AH1663" s="21" t="n">
        <f aca="false">IF($AG$4=0,0,IF($AG$6=0,0,IF(INDEX($A1663:$AD1663,$AG$4)="",0,IF(INDEX($A1663:$AD1663,$AG$6)&lt;&gt;"NON-COMPLIED",0,IF(COUNTIFS(INDEX($A$3:$AD$1663,0,$AG$4),INDEX($A1663:$AD1663,$AG$4),INDEX($A$3:$AD$1663,0,$AG$6),"NON-COMPLIED")=1,1,0)))))</f>
        <v>0</v>
      </c>
    </row>
    <row r="1664" customFormat="false" ht="15" hidden="false" customHeight="false" outlineLevel="0" collapsed="false">
      <c r="AH1664" s="21" t="n">
        <f aca="false">IF($AG$4=0,0,IF($AG$6=0,0,IF(INDEX($A1664:$AD1664,$AG$4)="",0,IF(INDEX($A1664:$AD1664,$AG$6)&lt;&gt;"NON-COMPLIED",0,IF(COUNTIFS(INDEX($A$3:$AD$1664,0,$AG$4),INDEX($A1664:$AD1664,$AG$4),INDEX($A$3:$AD$1664,0,$AG$6),"NON-COMPLIED")=1,1,0)))))</f>
        <v>0</v>
      </c>
    </row>
    <row r="1665" customFormat="false" ht="15" hidden="false" customHeight="false" outlineLevel="0" collapsed="false">
      <c r="AH1665" s="21" t="n">
        <f aca="false">IF($AG$4=0,0,IF($AG$6=0,0,IF(INDEX($A1665:$AD1665,$AG$4)="",0,IF(INDEX($A1665:$AD1665,$AG$6)&lt;&gt;"NON-COMPLIED",0,IF(COUNTIFS(INDEX($A$3:$AD$1665,0,$AG$4),INDEX($A1665:$AD1665,$AG$4),INDEX($A$3:$AD$1665,0,$AG$6),"NON-COMPLIED")=1,1,0)))))</f>
        <v>0</v>
      </c>
    </row>
    <row r="1666" customFormat="false" ht="15" hidden="false" customHeight="false" outlineLevel="0" collapsed="false">
      <c r="AH1666" s="21" t="n">
        <f aca="false">IF($AG$4=0,0,IF($AG$6=0,0,IF(INDEX($A1666:$AD1666,$AG$4)="",0,IF(INDEX($A1666:$AD1666,$AG$6)&lt;&gt;"NON-COMPLIED",0,IF(COUNTIFS(INDEX($A$3:$AD$1666,0,$AG$4),INDEX($A1666:$AD1666,$AG$4),INDEX($A$3:$AD$1666,0,$AG$6),"NON-COMPLIED")=1,1,0)))))</f>
        <v>0</v>
      </c>
    </row>
    <row r="1667" customFormat="false" ht="15" hidden="false" customHeight="false" outlineLevel="0" collapsed="false">
      <c r="AH1667" s="21" t="n">
        <f aca="false">IF($AG$4=0,0,IF($AG$6=0,0,IF(INDEX($A1667:$AD1667,$AG$4)="",0,IF(INDEX($A1667:$AD1667,$AG$6)&lt;&gt;"NON-COMPLIED",0,IF(COUNTIFS(INDEX($A$3:$AD$1667,0,$AG$4),INDEX($A1667:$AD1667,$AG$4),INDEX($A$3:$AD$1667,0,$AG$6),"NON-COMPLIED")=1,1,0)))))</f>
        <v>0</v>
      </c>
    </row>
    <row r="1668" customFormat="false" ht="15" hidden="false" customHeight="false" outlineLevel="0" collapsed="false">
      <c r="AH1668" s="21" t="n">
        <f aca="false">IF($AG$4=0,0,IF($AG$6=0,0,IF(INDEX($A1668:$AD1668,$AG$4)="",0,IF(INDEX($A1668:$AD1668,$AG$6)&lt;&gt;"NON-COMPLIED",0,IF(COUNTIFS(INDEX($A$3:$AD$1668,0,$AG$4),INDEX($A1668:$AD1668,$AG$4),INDEX($A$3:$AD$1668,0,$AG$6),"NON-COMPLIED")=1,1,0)))))</f>
        <v>0</v>
      </c>
    </row>
    <row r="1669" customFormat="false" ht="15" hidden="false" customHeight="false" outlineLevel="0" collapsed="false">
      <c r="AH1669" s="21" t="n">
        <f aca="false">IF($AG$4=0,0,IF($AG$6=0,0,IF(INDEX($A1669:$AD1669,$AG$4)="",0,IF(INDEX($A1669:$AD1669,$AG$6)&lt;&gt;"NON-COMPLIED",0,IF(COUNTIFS(INDEX($A$3:$AD$1669,0,$AG$4),INDEX($A1669:$AD1669,$AG$4),INDEX($A$3:$AD$1669,0,$AG$6),"NON-COMPLIED")=1,1,0)))))</f>
        <v>0</v>
      </c>
    </row>
    <row r="1670" customFormat="false" ht="15" hidden="false" customHeight="false" outlineLevel="0" collapsed="false">
      <c r="AH1670" s="21" t="n">
        <f aca="false">IF($AG$4=0,0,IF($AG$6=0,0,IF(INDEX($A1670:$AD1670,$AG$4)="",0,IF(INDEX($A1670:$AD1670,$AG$6)&lt;&gt;"NON-COMPLIED",0,IF(COUNTIFS(INDEX($A$3:$AD$1670,0,$AG$4),INDEX($A1670:$AD1670,$AG$4),INDEX($A$3:$AD$1670,0,$AG$6),"NON-COMPLIED")=1,1,0)))))</f>
        <v>0</v>
      </c>
    </row>
    <row r="1671" customFormat="false" ht="15" hidden="false" customHeight="false" outlineLevel="0" collapsed="false">
      <c r="AH1671" s="21" t="n">
        <f aca="false">IF($AG$4=0,0,IF($AG$6=0,0,IF(INDEX($A1671:$AD1671,$AG$4)="",0,IF(INDEX($A1671:$AD1671,$AG$6)&lt;&gt;"NON-COMPLIED",0,IF(COUNTIFS(INDEX($A$3:$AD$1671,0,$AG$4),INDEX($A1671:$AD1671,$AG$4),INDEX($A$3:$AD$1671,0,$AG$6),"NON-COMPLIED")=1,1,0)))))</f>
        <v>0</v>
      </c>
    </row>
    <row r="1672" customFormat="false" ht="15" hidden="false" customHeight="false" outlineLevel="0" collapsed="false">
      <c r="AH1672" s="21" t="n">
        <f aca="false">IF($AG$4=0,0,IF($AG$6=0,0,IF(INDEX($A1672:$AD1672,$AG$4)="",0,IF(INDEX($A1672:$AD1672,$AG$6)&lt;&gt;"NON-COMPLIED",0,IF(COUNTIFS(INDEX($A$3:$AD$1672,0,$AG$4),INDEX($A1672:$AD1672,$AG$4),INDEX($A$3:$AD$1672,0,$AG$6),"NON-COMPLIED")=1,1,0)))))</f>
        <v>0</v>
      </c>
    </row>
    <row r="1673" customFormat="false" ht="15" hidden="false" customHeight="false" outlineLevel="0" collapsed="false">
      <c r="AH1673" s="21" t="n">
        <f aca="false">IF($AG$4=0,0,IF($AG$6=0,0,IF(INDEX($A1673:$AD1673,$AG$4)="",0,IF(INDEX($A1673:$AD1673,$AG$6)&lt;&gt;"NON-COMPLIED",0,IF(COUNTIFS(INDEX($A$3:$AD$1673,0,$AG$4),INDEX($A1673:$AD1673,$AG$4),INDEX($A$3:$AD$1673,0,$AG$6),"NON-COMPLIED")=1,1,0)))))</f>
        <v>0</v>
      </c>
    </row>
    <row r="1674" customFormat="false" ht="15" hidden="false" customHeight="false" outlineLevel="0" collapsed="false">
      <c r="AH1674" s="21" t="n">
        <f aca="false">IF($AG$4=0,0,IF($AG$6=0,0,IF(INDEX($A1674:$AD1674,$AG$4)="",0,IF(INDEX($A1674:$AD1674,$AG$6)&lt;&gt;"NON-COMPLIED",0,IF(COUNTIFS(INDEX($A$3:$AD$1674,0,$AG$4),INDEX($A1674:$AD1674,$AG$4),INDEX($A$3:$AD$1674,0,$AG$6),"NON-COMPLIED")=1,1,0)))))</f>
        <v>0</v>
      </c>
    </row>
    <row r="1675" customFormat="false" ht="15" hidden="false" customHeight="false" outlineLevel="0" collapsed="false">
      <c r="AH1675" s="21" t="n">
        <f aca="false">IF($AG$4=0,0,IF($AG$6=0,0,IF(INDEX($A1675:$AD1675,$AG$4)="",0,IF(INDEX($A1675:$AD1675,$AG$6)&lt;&gt;"NON-COMPLIED",0,IF(COUNTIFS(INDEX($A$3:$AD$1675,0,$AG$4),INDEX($A1675:$AD1675,$AG$4),INDEX($A$3:$AD$1675,0,$AG$6),"NON-COMPLIED")=1,1,0)))))</f>
        <v>0</v>
      </c>
    </row>
    <row r="1676" customFormat="false" ht="15" hidden="false" customHeight="false" outlineLevel="0" collapsed="false">
      <c r="AH1676" s="21" t="n">
        <f aca="false">IF($AG$4=0,0,IF($AG$6=0,0,IF(INDEX($A1676:$AD1676,$AG$4)="",0,IF(INDEX($A1676:$AD1676,$AG$6)&lt;&gt;"NON-COMPLIED",0,IF(COUNTIFS(INDEX($A$3:$AD$1676,0,$AG$4),INDEX($A1676:$AD1676,$AG$4),INDEX($A$3:$AD$1676,0,$AG$6),"NON-COMPLIED")=1,1,0)))))</f>
        <v>0</v>
      </c>
    </row>
    <row r="1677" customFormat="false" ht="15" hidden="false" customHeight="false" outlineLevel="0" collapsed="false">
      <c r="AH1677" s="21" t="n">
        <f aca="false">IF($AG$4=0,0,IF($AG$6=0,0,IF(INDEX($A1677:$AD1677,$AG$4)="",0,IF(INDEX($A1677:$AD1677,$AG$6)&lt;&gt;"NON-COMPLIED",0,IF(COUNTIFS(INDEX($A$3:$AD$1677,0,$AG$4),INDEX($A1677:$AD1677,$AG$4),INDEX($A$3:$AD$1677,0,$AG$6),"NON-COMPLIED")=1,1,0)))))</f>
        <v>0</v>
      </c>
    </row>
    <row r="1678" customFormat="false" ht="15" hidden="false" customHeight="false" outlineLevel="0" collapsed="false">
      <c r="AH1678" s="21" t="n">
        <f aca="false">IF($AG$4=0,0,IF($AG$6=0,0,IF(INDEX($A1678:$AD1678,$AG$4)="",0,IF(INDEX($A1678:$AD1678,$AG$6)&lt;&gt;"NON-COMPLIED",0,IF(COUNTIFS(INDEX($A$3:$AD$1678,0,$AG$4),INDEX($A1678:$AD1678,$AG$4),INDEX($A$3:$AD$1678,0,$AG$6),"NON-COMPLIED")=1,1,0)))))</f>
        <v>0</v>
      </c>
    </row>
    <row r="1679" customFormat="false" ht="15" hidden="false" customHeight="false" outlineLevel="0" collapsed="false">
      <c r="AH1679" s="21" t="n">
        <f aca="false">IF($AG$4=0,0,IF($AG$6=0,0,IF(INDEX($A1679:$AD1679,$AG$4)="",0,IF(INDEX($A1679:$AD1679,$AG$6)&lt;&gt;"NON-COMPLIED",0,IF(COUNTIFS(INDEX($A$3:$AD$1679,0,$AG$4),INDEX($A1679:$AD1679,$AG$4),INDEX($A$3:$AD$1679,0,$AG$6),"NON-COMPLIED")=1,1,0)))))</f>
        <v>0</v>
      </c>
    </row>
    <row r="1680" customFormat="false" ht="15" hidden="false" customHeight="false" outlineLevel="0" collapsed="false">
      <c r="AH1680" s="21" t="n">
        <f aca="false">IF($AG$4=0,0,IF($AG$6=0,0,IF(INDEX($A1680:$AD1680,$AG$4)="",0,IF(INDEX($A1680:$AD1680,$AG$6)&lt;&gt;"NON-COMPLIED",0,IF(COUNTIFS(INDEX($A$3:$AD$1680,0,$AG$4),INDEX($A1680:$AD1680,$AG$4),INDEX($A$3:$AD$1680,0,$AG$6),"NON-COMPLIED")=1,1,0)))))</f>
        <v>0</v>
      </c>
    </row>
    <row r="1681" customFormat="false" ht="15" hidden="false" customHeight="false" outlineLevel="0" collapsed="false">
      <c r="AH1681" s="21" t="n">
        <f aca="false">IF($AG$4=0,0,IF($AG$6=0,0,IF(INDEX($A1681:$AD1681,$AG$4)="",0,IF(INDEX($A1681:$AD1681,$AG$6)&lt;&gt;"NON-COMPLIED",0,IF(COUNTIFS(INDEX($A$3:$AD$1681,0,$AG$4),INDEX($A1681:$AD1681,$AG$4),INDEX($A$3:$AD$1681,0,$AG$6),"NON-COMPLIED")=1,1,0)))))</f>
        <v>0</v>
      </c>
    </row>
    <row r="1682" customFormat="false" ht="15" hidden="false" customHeight="false" outlineLevel="0" collapsed="false">
      <c r="AH1682" s="21" t="n">
        <f aca="false">IF($AG$4=0,0,IF($AG$6=0,0,IF(INDEX($A1682:$AD1682,$AG$4)="",0,IF(INDEX($A1682:$AD1682,$AG$6)&lt;&gt;"NON-COMPLIED",0,IF(COUNTIFS(INDEX($A$3:$AD$1682,0,$AG$4),INDEX($A1682:$AD1682,$AG$4),INDEX($A$3:$AD$1682,0,$AG$6),"NON-COMPLIED")=1,1,0)))))</f>
        <v>0</v>
      </c>
    </row>
    <row r="1683" customFormat="false" ht="15" hidden="false" customHeight="false" outlineLevel="0" collapsed="false">
      <c r="AH1683" s="21" t="n">
        <f aca="false">IF($AG$4=0,0,IF($AG$6=0,0,IF(INDEX($A1683:$AD1683,$AG$4)="",0,IF(INDEX($A1683:$AD1683,$AG$6)&lt;&gt;"NON-COMPLIED",0,IF(COUNTIFS(INDEX($A$3:$AD$1683,0,$AG$4),INDEX($A1683:$AD1683,$AG$4),INDEX($A$3:$AD$1683,0,$AG$6),"NON-COMPLIED")=1,1,0)))))</f>
        <v>0</v>
      </c>
    </row>
    <row r="1684" customFormat="false" ht="15" hidden="false" customHeight="false" outlineLevel="0" collapsed="false">
      <c r="AH1684" s="21" t="n">
        <f aca="false">IF($AG$4=0,0,IF($AG$6=0,0,IF(INDEX($A1684:$AD1684,$AG$4)="",0,IF(INDEX($A1684:$AD1684,$AG$6)&lt;&gt;"NON-COMPLIED",0,IF(COUNTIFS(INDEX($A$3:$AD$1684,0,$AG$4),INDEX($A1684:$AD1684,$AG$4),INDEX($A$3:$AD$1684,0,$AG$6),"NON-COMPLIED")=1,1,0)))))</f>
        <v>0</v>
      </c>
    </row>
    <row r="1685" customFormat="false" ht="15" hidden="false" customHeight="false" outlineLevel="0" collapsed="false">
      <c r="AH1685" s="21" t="n">
        <f aca="false">IF($AG$4=0,0,IF($AG$6=0,0,IF(INDEX($A1685:$AD1685,$AG$4)="",0,IF(INDEX($A1685:$AD1685,$AG$6)&lt;&gt;"NON-COMPLIED",0,IF(COUNTIFS(INDEX($A$3:$AD$1685,0,$AG$4),INDEX($A1685:$AD1685,$AG$4),INDEX($A$3:$AD$1685,0,$AG$6),"NON-COMPLIED")=1,1,0)))))</f>
        <v>0</v>
      </c>
    </row>
    <row r="1686" customFormat="false" ht="15" hidden="false" customHeight="false" outlineLevel="0" collapsed="false">
      <c r="AH1686" s="21" t="n">
        <f aca="false">IF($AG$4=0,0,IF($AG$6=0,0,IF(INDEX($A1686:$AD1686,$AG$4)="",0,IF(INDEX($A1686:$AD1686,$AG$6)&lt;&gt;"NON-COMPLIED",0,IF(COUNTIFS(INDEX($A$3:$AD$1686,0,$AG$4),INDEX($A1686:$AD1686,$AG$4),INDEX($A$3:$AD$1686,0,$AG$6),"NON-COMPLIED")=1,1,0)))))</f>
        <v>0</v>
      </c>
    </row>
    <row r="1687" customFormat="false" ht="15" hidden="false" customHeight="false" outlineLevel="0" collapsed="false">
      <c r="AH1687" s="21" t="n">
        <f aca="false">IF($AG$4=0,0,IF($AG$6=0,0,IF(INDEX($A1687:$AD1687,$AG$4)="",0,IF(INDEX($A1687:$AD1687,$AG$6)&lt;&gt;"NON-COMPLIED",0,IF(COUNTIFS(INDEX($A$3:$AD$1687,0,$AG$4),INDEX($A1687:$AD1687,$AG$4),INDEX($A$3:$AD$1687,0,$AG$6),"NON-COMPLIED")=1,1,0)))))</f>
        <v>0</v>
      </c>
    </row>
    <row r="1688" customFormat="false" ht="15" hidden="false" customHeight="false" outlineLevel="0" collapsed="false">
      <c r="AH1688" s="21" t="n">
        <f aca="false">IF($AG$4=0,0,IF($AG$6=0,0,IF(INDEX($A1688:$AD1688,$AG$4)="",0,IF(INDEX($A1688:$AD1688,$AG$6)&lt;&gt;"NON-COMPLIED",0,IF(COUNTIFS(INDEX($A$3:$AD$1688,0,$AG$4),INDEX($A1688:$AD1688,$AG$4),INDEX($A$3:$AD$1688,0,$AG$6),"NON-COMPLIED")=1,1,0)))))</f>
        <v>0</v>
      </c>
    </row>
    <row r="1689" customFormat="false" ht="15" hidden="false" customHeight="false" outlineLevel="0" collapsed="false">
      <c r="AH1689" s="21" t="n">
        <f aca="false">IF($AG$4=0,0,IF($AG$6=0,0,IF(INDEX($A1689:$AD1689,$AG$4)="",0,IF(INDEX($A1689:$AD1689,$AG$6)&lt;&gt;"NON-COMPLIED",0,IF(COUNTIFS(INDEX($A$3:$AD$1689,0,$AG$4),INDEX($A1689:$AD1689,$AG$4),INDEX($A$3:$AD$1689,0,$AG$6),"NON-COMPLIED")=1,1,0)))))</f>
        <v>0</v>
      </c>
    </row>
    <row r="1690" customFormat="false" ht="15" hidden="false" customHeight="false" outlineLevel="0" collapsed="false">
      <c r="AH1690" s="21" t="n">
        <f aca="false">IF($AG$4=0,0,IF($AG$6=0,0,IF(INDEX($A1690:$AD1690,$AG$4)="",0,IF(INDEX($A1690:$AD1690,$AG$6)&lt;&gt;"NON-COMPLIED",0,IF(COUNTIFS(INDEX($A$3:$AD$1690,0,$AG$4),INDEX($A1690:$AD1690,$AG$4),INDEX($A$3:$AD$1690,0,$AG$6),"NON-COMPLIED")=1,1,0)))))</f>
        <v>0</v>
      </c>
    </row>
    <row r="1691" customFormat="false" ht="15" hidden="false" customHeight="false" outlineLevel="0" collapsed="false">
      <c r="AH1691" s="21" t="n">
        <f aca="false">IF($AG$4=0,0,IF($AG$6=0,0,IF(INDEX($A1691:$AD1691,$AG$4)="",0,IF(INDEX($A1691:$AD1691,$AG$6)&lt;&gt;"NON-COMPLIED",0,IF(COUNTIFS(INDEX($A$3:$AD$1691,0,$AG$4),INDEX($A1691:$AD1691,$AG$4),INDEX($A$3:$AD$1691,0,$AG$6),"NON-COMPLIED")=1,1,0)))))</f>
        <v>0</v>
      </c>
    </row>
    <row r="1692" customFormat="false" ht="15" hidden="false" customHeight="false" outlineLevel="0" collapsed="false">
      <c r="AH1692" s="21" t="n">
        <f aca="false">IF($AG$4=0,0,IF($AG$6=0,0,IF(INDEX($A1692:$AD1692,$AG$4)="",0,IF(INDEX($A1692:$AD1692,$AG$6)&lt;&gt;"NON-COMPLIED",0,IF(COUNTIFS(INDEX($A$3:$AD$1692,0,$AG$4),INDEX($A1692:$AD1692,$AG$4),INDEX($A$3:$AD$1692,0,$AG$6),"NON-COMPLIED")=1,1,0)))))</f>
        <v>0</v>
      </c>
    </row>
    <row r="1693" customFormat="false" ht="15" hidden="false" customHeight="false" outlineLevel="0" collapsed="false">
      <c r="AH1693" s="21" t="n">
        <f aca="false">IF($AG$4=0,0,IF($AG$6=0,0,IF(INDEX($A1693:$AD1693,$AG$4)="",0,IF(INDEX($A1693:$AD1693,$AG$6)&lt;&gt;"NON-COMPLIED",0,IF(COUNTIFS(INDEX($A$3:$AD$1693,0,$AG$4),INDEX($A1693:$AD1693,$AG$4),INDEX($A$3:$AD$1693,0,$AG$6),"NON-COMPLIED")=1,1,0)))))</f>
        <v>0</v>
      </c>
    </row>
    <row r="1694" customFormat="false" ht="15" hidden="false" customHeight="false" outlineLevel="0" collapsed="false">
      <c r="AH1694" s="21" t="n">
        <f aca="false">IF($AG$4=0,0,IF($AG$6=0,0,IF(INDEX($A1694:$AD1694,$AG$4)="",0,IF(INDEX($A1694:$AD1694,$AG$6)&lt;&gt;"NON-COMPLIED",0,IF(COUNTIFS(INDEX($A$3:$AD$1694,0,$AG$4),INDEX($A1694:$AD1694,$AG$4),INDEX($A$3:$AD$1694,0,$AG$6),"NON-COMPLIED")=1,1,0)))))</f>
        <v>0</v>
      </c>
    </row>
    <row r="1695" customFormat="false" ht="15" hidden="false" customHeight="false" outlineLevel="0" collapsed="false">
      <c r="AH1695" s="21" t="n">
        <f aca="false">IF($AG$4=0,0,IF($AG$6=0,0,IF(INDEX($A1695:$AD1695,$AG$4)="",0,IF(INDEX($A1695:$AD1695,$AG$6)&lt;&gt;"NON-COMPLIED",0,IF(COUNTIFS(INDEX($A$3:$AD$1695,0,$AG$4),INDEX($A1695:$AD1695,$AG$4),INDEX($A$3:$AD$1695,0,$AG$6),"NON-COMPLIED")=1,1,0)))))</f>
        <v>0</v>
      </c>
    </row>
    <row r="1696" customFormat="false" ht="15" hidden="false" customHeight="false" outlineLevel="0" collapsed="false">
      <c r="AH1696" s="21" t="n">
        <f aca="false">IF($AG$4=0,0,IF($AG$6=0,0,IF(INDEX($A1696:$AD1696,$AG$4)="",0,IF(INDEX($A1696:$AD1696,$AG$6)&lt;&gt;"NON-COMPLIED",0,IF(COUNTIFS(INDEX($A$3:$AD$1696,0,$AG$4),INDEX($A1696:$AD1696,$AG$4),INDEX($A$3:$AD$1696,0,$AG$6),"NON-COMPLIED")=1,1,0)))))</f>
        <v>0</v>
      </c>
    </row>
    <row r="1697" customFormat="false" ht="15" hidden="false" customHeight="false" outlineLevel="0" collapsed="false">
      <c r="AH1697" s="21" t="n">
        <f aca="false">IF($AG$4=0,0,IF($AG$6=0,0,IF(INDEX($A1697:$AD1697,$AG$4)="",0,IF(INDEX($A1697:$AD1697,$AG$6)&lt;&gt;"NON-COMPLIED",0,IF(COUNTIFS(INDEX($A$3:$AD$1697,0,$AG$4),INDEX($A1697:$AD1697,$AG$4),INDEX($A$3:$AD$1697,0,$AG$6),"NON-COMPLIED")=1,1,0)))))</f>
        <v>0</v>
      </c>
    </row>
    <row r="1698" customFormat="false" ht="15" hidden="false" customHeight="false" outlineLevel="0" collapsed="false">
      <c r="AH1698" s="21" t="n">
        <f aca="false">IF($AG$4=0,0,IF($AG$6=0,0,IF(INDEX($A1698:$AD1698,$AG$4)="",0,IF(INDEX($A1698:$AD1698,$AG$6)&lt;&gt;"NON-COMPLIED",0,IF(COUNTIFS(INDEX($A$3:$AD$1698,0,$AG$4),INDEX($A1698:$AD1698,$AG$4),INDEX($A$3:$AD$1698,0,$AG$6),"NON-COMPLIED")=1,1,0)))))</f>
        <v>0</v>
      </c>
    </row>
    <row r="1699" customFormat="false" ht="15" hidden="false" customHeight="false" outlineLevel="0" collapsed="false">
      <c r="AH1699" s="21" t="n">
        <f aca="false">IF($AG$4=0,0,IF($AG$6=0,0,IF(INDEX($A1699:$AD1699,$AG$4)="",0,IF(INDEX($A1699:$AD1699,$AG$6)&lt;&gt;"NON-COMPLIED",0,IF(COUNTIFS(INDEX($A$3:$AD$1699,0,$AG$4),INDEX($A1699:$AD1699,$AG$4),INDEX($A$3:$AD$1699,0,$AG$6),"NON-COMPLIED")=1,1,0)))))</f>
        <v>0</v>
      </c>
    </row>
    <row r="1700" customFormat="false" ht="15" hidden="false" customHeight="false" outlineLevel="0" collapsed="false">
      <c r="AH1700" s="21" t="n">
        <f aca="false">IF($AG$4=0,0,IF($AG$6=0,0,IF(INDEX($A1700:$AD1700,$AG$4)="",0,IF(INDEX($A1700:$AD1700,$AG$6)&lt;&gt;"NON-COMPLIED",0,IF(COUNTIFS(INDEX($A$3:$AD$1700,0,$AG$4),INDEX($A1700:$AD1700,$AG$4),INDEX($A$3:$AD$1700,0,$AG$6),"NON-COMPLIED")=1,1,0)))))</f>
        <v>0</v>
      </c>
    </row>
    <row r="1701" customFormat="false" ht="15" hidden="false" customHeight="false" outlineLevel="0" collapsed="false">
      <c r="AH1701" s="21" t="n">
        <f aca="false">IF($AG$4=0,0,IF($AG$6=0,0,IF(INDEX($A1701:$AD1701,$AG$4)="",0,IF(INDEX($A1701:$AD1701,$AG$6)&lt;&gt;"NON-COMPLIED",0,IF(COUNTIFS(INDEX($A$3:$AD$1701,0,$AG$4),INDEX($A1701:$AD1701,$AG$4),INDEX($A$3:$AD$1701,0,$AG$6),"NON-COMPLIED")=1,1,0)))))</f>
        <v>0</v>
      </c>
    </row>
    <row r="1702" customFormat="false" ht="15" hidden="false" customHeight="false" outlineLevel="0" collapsed="false">
      <c r="AH1702" s="21" t="n">
        <f aca="false">IF($AG$4=0,0,IF($AG$6=0,0,IF(INDEX($A1702:$AD1702,$AG$4)="",0,IF(INDEX($A1702:$AD1702,$AG$6)&lt;&gt;"NON-COMPLIED",0,IF(COUNTIFS(INDEX($A$3:$AD$1702,0,$AG$4),INDEX($A1702:$AD1702,$AG$4),INDEX($A$3:$AD$1702,0,$AG$6),"NON-COMPLIED")=1,1,0)))))</f>
        <v>0</v>
      </c>
    </row>
    <row r="1703" customFormat="false" ht="15" hidden="false" customHeight="false" outlineLevel="0" collapsed="false">
      <c r="AH1703" s="21" t="n">
        <f aca="false">IF($AG$4=0,0,IF($AG$6=0,0,IF(INDEX($A1703:$AD1703,$AG$4)="",0,IF(INDEX($A1703:$AD1703,$AG$6)&lt;&gt;"NON-COMPLIED",0,IF(COUNTIFS(INDEX($A$3:$AD$1703,0,$AG$4),INDEX($A1703:$AD1703,$AG$4),INDEX($A$3:$AD$1703,0,$AG$6),"NON-COMPLIED")=1,1,0)))))</f>
        <v>0</v>
      </c>
    </row>
    <row r="1704" customFormat="false" ht="15" hidden="false" customHeight="false" outlineLevel="0" collapsed="false">
      <c r="AH1704" s="21" t="n">
        <f aca="false">IF($AG$4=0,0,IF($AG$6=0,0,IF(INDEX($A1704:$AD1704,$AG$4)="",0,IF(INDEX($A1704:$AD1704,$AG$6)&lt;&gt;"NON-COMPLIED",0,IF(COUNTIFS(INDEX($A$3:$AD$1704,0,$AG$4),INDEX($A1704:$AD1704,$AG$4),INDEX($A$3:$AD$1704,0,$AG$6),"NON-COMPLIED")=1,1,0)))))</f>
        <v>0</v>
      </c>
    </row>
    <row r="1705" customFormat="false" ht="15" hidden="false" customHeight="false" outlineLevel="0" collapsed="false">
      <c r="AH1705" s="21" t="n">
        <f aca="false">IF($AG$4=0,0,IF($AG$6=0,0,IF(INDEX($A1705:$AD1705,$AG$4)="",0,IF(INDEX($A1705:$AD1705,$AG$6)&lt;&gt;"NON-COMPLIED",0,IF(COUNTIFS(INDEX($A$3:$AD$1705,0,$AG$4),INDEX($A1705:$AD1705,$AG$4),INDEX($A$3:$AD$1705,0,$AG$6),"NON-COMPLIED")=1,1,0)))))</f>
        <v>0</v>
      </c>
    </row>
    <row r="1706" customFormat="false" ht="15" hidden="false" customHeight="false" outlineLevel="0" collapsed="false">
      <c r="AH1706" s="21" t="n">
        <f aca="false">IF($AG$4=0,0,IF($AG$6=0,0,IF(INDEX($A1706:$AD1706,$AG$4)="",0,IF(INDEX($A1706:$AD1706,$AG$6)&lt;&gt;"NON-COMPLIED",0,IF(COUNTIFS(INDEX($A$3:$AD$1706,0,$AG$4),INDEX($A1706:$AD1706,$AG$4),INDEX($A$3:$AD$1706,0,$AG$6),"NON-COMPLIED")=1,1,0)))))</f>
        <v>0</v>
      </c>
    </row>
    <row r="1707" customFormat="false" ht="15" hidden="false" customHeight="false" outlineLevel="0" collapsed="false">
      <c r="AH1707" s="21" t="n">
        <f aca="false">IF($AG$4=0,0,IF($AG$6=0,0,IF(INDEX($A1707:$AD1707,$AG$4)="",0,IF(INDEX($A1707:$AD1707,$AG$6)&lt;&gt;"NON-COMPLIED",0,IF(COUNTIFS(INDEX($A$3:$AD$1707,0,$AG$4),INDEX($A1707:$AD1707,$AG$4),INDEX($A$3:$AD$1707,0,$AG$6),"NON-COMPLIED")=1,1,0)))))</f>
        <v>0</v>
      </c>
    </row>
    <row r="1708" customFormat="false" ht="15" hidden="false" customHeight="false" outlineLevel="0" collapsed="false">
      <c r="AH1708" s="21" t="n">
        <f aca="false">IF($AG$4=0,0,IF($AG$6=0,0,IF(INDEX($A1708:$AD1708,$AG$4)="",0,IF(INDEX($A1708:$AD1708,$AG$6)&lt;&gt;"NON-COMPLIED",0,IF(COUNTIFS(INDEX($A$3:$AD$1708,0,$AG$4),INDEX($A1708:$AD1708,$AG$4),INDEX($A$3:$AD$1708,0,$AG$6),"NON-COMPLIED")=1,1,0)))))</f>
        <v>0</v>
      </c>
    </row>
    <row r="1709" customFormat="false" ht="15" hidden="false" customHeight="false" outlineLevel="0" collapsed="false">
      <c r="AH1709" s="21" t="n">
        <f aca="false">IF($AG$4=0,0,IF($AG$6=0,0,IF(INDEX($A1709:$AD1709,$AG$4)="",0,IF(INDEX($A1709:$AD1709,$AG$6)&lt;&gt;"NON-COMPLIED",0,IF(COUNTIFS(INDEX($A$3:$AD$1709,0,$AG$4),INDEX($A1709:$AD1709,$AG$4),INDEX($A$3:$AD$1709,0,$AG$6),"NON-COMPLIED")=1,1,0)))))</f>
        <v>0</v>
      </c>
    </row>
    <row r="1710" customFormat="false" ht="15" hidden="false" customHeight="false" outlineLevel="0" collapsed="false">
      <c r="AH1710" s="21" t="n">
        <f aca="false">IF($AG$4=0,0,IF($AG$6=0,0,IF(INDEX($A1710:$AD1710,$AG$4)="",0,IF(INDEX($A1710:$AD1710,$AG$6)&lt;&gt;"NON-COMPLIED",0,IF(COUNTIFS(INDEX($A$3:$AD$1710,0,$AG$4),INDEX($A1710:$AD1710,$AG$4),INDEX($A$3:$AD$1710,0,$AG$6),"NON-COMPLIED")=1,1,0)))))</f>
        <v>0</v>
      </c>
    </row>
    <row r="1711" customFormat="false" ht="15" hidden="false" customHeight="false" outlineLevel="0" collapsed="false">
      <c r="AH1711" s="21" t="n">
        <f aca="false">IF($AG$4=0,0,IF($AG$6=0,0,IF(INDEX($A1711:$AD1711,$AG$4)="",0,IF(INDEX($A1711:$AD1711,$AG$6)&lt;&gt;"NON-COMPLIED",0,IF(COUNTIFS(INDEX($A$3:$AD$1711,0,$AG$4),INDEX($A1711:$AD1711,$AG$4),INDEX($A$3:$AD$1711,0,$AG$6),"NON-COMPLIED")=1,1,0)))))</f>
        <v>0</v>
      </c>
    </row>
    <row r="1712" customFormat="false" ht="15" hidden="false" customHeight="false" outlineLevel="0" collapsed="false">
      <c r="AH1712" s="21" t="n">
        <f aca="false">IF($AG$4=0,0,IF($AG$6=0,0,IF(INDEX($A1712:$AD1712,$AG$4)="",0,IF(INDEX($A1712:$AD1712,$AG$6)&lt;&gt;"NON-COMPLIED",0,IF(COUNTIFS(INDEX($A$3:$AD$1712,0,$AG$4),INDEX($A1712:$AD1712,$AG$4),INDEX($A$3:$AD$1712,0,$AG$6),"NON-COMPLIED")=1,1,0)))))</f>
        <v>0</v>
      </c>
    </row>
    <row r="1713" customFormat="false" ht="15" hidden="false" customHeight="false" outlineLevel="0" collapsed="false">
      <c r="AH1713" s="21" t="n">
        <f aca="false">IF($AG$4=0,0,IF($AG$6=0,0,IF(INDEX($A1713:$AD1713,$AG$4)="",0,IF(INDEX($A1713:$AD1713,$AG$6)&lt;&gt;"NON-COMPLIED",0,IF(COUNTIFS(INDEX($A$3:$AD$1713,0,$AG$4),INDEX($A1713:$AD1713,$AG$4),INDEX($A$3:$AD$1713,0,$AG$6),"NON-COMPLIED")=1,1,0)))))</f>
        <v>0</v>
      </c>
    </row>
    <row r="1714" customFormat="false" ht="15" hidden="false" customHeight="false" outlineLevel="0" collapsed="false">
      <c r="AH1714" s="21" t="n">
        <f aca="false">IF($AG$4=0,0,IF($AG$6=0,0,IF(INDEX($A1714:$AD1714,$AG$4)="",0,IF(INDEX($A1714:$AD1714,$AG$6)&lt;&gt;"NON-COMPLIED",0,IF(COUNTIFS(INDEX($A$3:$AD$1714,0,$AG$4),INDEX($A1714:$AD1714,$AG$4),INDEX($A$3:$AD$1714,0,$AG$6),"NON-COMPLIED")=1,1,0)))))</f>
        <v>0</v>
      </c>
    </row>
    <row r="1715" customFormat="false" ht="15" hidden="false" customHeight="false" outlineLevel="0" collapsed="false">
      <c r="AH1715" s="21" t="n">
        <f aca="false">IF($AG$4=0,0,IF($AG$6=0,0,IF(INDEX($A1715:$AD1715,$AG$4)="",0,IF(INDEX($A1715:$AD1715,$AG$6)&lt;&gt;"NON-COMPLIED",0,IF(COUNTIFS(INDEX($A$3:$AD$1715,0,$AG$4),INDEX($A1715:$AD1715,$AG$4),INDEX($A$3:$AD$1715,0,$AG$6),"NON-COMPLIED")=1,1,0)))))</f>
        <v>0</v>
      </c>
    </row>
    <row r="1716" customFormat="false" ht="15" hidden="false" customHeight="false" outlineLevel="0" collapsed="false">
      <c r="AH1716" s="21" t="n">
        <f aca="false">IF($AG$4=0,0,IF($AG$6=0,0,IF(INDEX($A1716:$AD1716,$AG$4)="",0,IF(INDEX($A1716:$AD1716,$AG$6)&lt;&gt;"NON-COMPLIED",0,IF(COUNTIFS(INDEX($A$3:$AD$1716,0,$AG$4),INDEX($A1716:$AD1716,$AG$4),INDEX($A$3:$AD$1716,0,$AG$6),"NON-COMPLIED")=1,1,0)))))</f>
        <v>0</v>
      </c>
    </row>
    <row r="1717" customFormat="false" ht="15" hidden="false" customHeight="false" outlineLevel="0" collapsed="false">
      <c r="AH1717" s="21" t="n">
        <f aca="false">IF($AG$4=0,0,IF($AG$6=0,0,IF(INDEX($A1717:$AD1717,$AG$4)="",0,IF(INDEX($A1717:$AD1717,$AG$6)&lt;&gt;"NON-COMPLIED",0,IF(COUNTIFS(INDEX($A$3:$AD$1717,0,$AG$4),INDEX($A1717:$AD1717,$AG$4),INDEX($A$3:$AD$1717,0,$AG$6),"NON-COMPLIED")=1,1,0)))))</f>
        <v>0</v>
      </c>
    </row>
    <row r="1718" customFormat="false" ht="15" hidden="false" customHeight="false" outlineLevel="0" collapsed="false">
      <c r="AH1718" s="21" t="n">
        <f aca="false">IF($AG$4=0,0,IF($AG$6=0,0,IF(INDEX($A1718:$AD1718,$AG$4)="",0,IF(INDEX($A1718:$AD1718,$AG$6)&lt;&gt;"NON-COMPLIED",0,IF(COUNTIFS(INDEX($A$3:$AD$1718,0,$AG$4),INDEX($A1718:$AD1718,$AG$4),INDEX($A$3:$AD$1718,0,$AG$6),"NON-COMPLIED")=1,1,0)))))</f>
        <v>0</v>
      </c>
    </row>
    <row r="1719" customFormat="false" ht="15" hidden="false" customHeight="false" outlineLevel="0" collapsed="false">
      <c r="AH1719" s="21" t="n">
        <f aca="false">IF($AG$4=0,0,IF($AG$6=0,0,IF(INDEX($A1719:$AD1719,$AG$4)="",0,IF(INDEX($A1719:$AD1719,$AG$6)&lt;&gt;"NON-COMPLIED",0,IF(COUNTIFS(INDEX($A$3:$AD$1719,0,$AG$4),INDEX($A1719:$AD1719,$AG$4),INDEX($A$3:$AD$1719,0,$AG$6),"NON-COMPLIED")=1,1,0)))))</f>
        <v>0</v>
      </c>
    </row>
    <row r="1720" customFormat="false" ht="15" hidden="false" customHeight="false" outlineLevel="0" collapsed="false">
      <c r="AH1720" s="21" t="n">
        <f aca="false">IF($AG$4=0,0,IF($AG$6=0,0,IF(INDEX($A1720:$AD1720,$AG$4)="",0,IF(INDEX($A1720:$AD1720,$AG$6)&lt;&gt;"NON-COMPLIED",0,IF(COUNTIFS(INDEX($A$3:$AD$1720,0,$AG$4),INDEX($A1720:$AD1720,$AG$4),INDEX($A$3:$AD$1720,0,$AG$6),"NON-COMPLIED")=1,1,0)))))</f>
        <v>0</v>
      </c>
    </row>
    <row r="1721" customFormat="false" ht="15" hidden="false" customHeight="false" outlineLevel="0" collapsed="false">
      <c r="AH1721" s="21" t="n">
        <f aca="false">IF($AG$4=0,0,IF($AG$6=0,0,IF(INDEX($A1721:$AD1721,$AG$4)="",0,IF(INDEX($A1721:$AD1721,$AG$6)&lt;&gt;"NON-COMPLIED",0,IF(COUNTIFS(INDEX($A$3:$AD$1721,0,$AG$4),INDEX($A1721:$AD1721,$AG$4),INDEX($A$3:$AD$1721,0,$AG$6),"NON-COMPLIED")=1,1,0)))))</f>
        <v>0</v>
      </c>
    </row>
    <row r="1722" customFormat="false" ht="15" hidden="false" customHeight="false" outlineLevel="0" collapsed="false">
      <c r="AH1722" s="21" t="n">
        <f aca="false">IF($AG$4=0,0,IF($AG$6=0,0,IF(INDEX($A1722:$AD1722,$AG$4)="",0,IF(INDEX($A1722:$AD1722,$AG$6)&lt;&gt;"NON-COMPLIED",0,IF(COUNTIFS(INDEX($A$3:$AD$1722,0,$AG$4),INDEX($A1722:$AD1722,$AG$4),INDEX($A$3:$AD$1722,0,$AG$6),"NON-COMPLIED")=1,1,0)))))</f>
        <v>0</v>
      </c>
    </row>
    <row r="1723" customFormat="false" ht="15" hidden="false" customHeight="false" outlineLevel="0" collapsed="false">
      <c r="AH1723" s="21" t="n">
        <f aca="false">IF($AG$4=0,0,IF($AG$6=0,0,IF(INDEX($A1723:$AD1723,$AG$4)="",0,IF(INDEX($A1723:$AD1723,$AG$6)&lt;&gt;"NON-COMPLIED",0,IF(COUNTIFS(INDEX($A$3:$AD$1723,0,$AG$4),INDEX($A1723:$AD1723,$AG$4),INDEX($A$3:$AD$1723,0,$AG$6),"NON-COMPLIED")=1,1,0)))))</f>
        <v>0</v>
      </c>
    </row>
    <row r="1724" customFormat="false" ht="15" hidden="false" customHeight="false" outlineLevel="0" collapsed="false">
      <c r="AH1724" s="21" t="n">
        <f aca="false">IF($AG$4=0,0,IF($AG$6=0,0,IF(INDEX($A1724:$AD1724,$AG$4)="",0,IF(INDEX($A1724:$AD1724,$AG$6)&lt;&gt;"NON-COMPLIED",0,IF(COUNTIFS(INDEX($A$3:$AD$1724,0,$AG$4),INDEX($A1724:$AD1724,$AG$4),INDEX($A$3:$AD$1724,0,$AG$6),"NON-COMPLIED")=1,1,0)))))</f>
        <v>0</v>
      </c>
    </row>
    <row r="1725" customFormat="false" ht="15" hidden="false" customHeight="false" outlineLevel="0" collapsed="false">
      <c r="AH1725" s="21" t="n">
        <f aca="false">IF($AG$4=0,0,IF($AG$6=0,0,IF(INDEX($A1725:$AD1725,$AG$4)="",0,IF(INDEX($A1725:$AD1725,$AG$6)&lt;&gt;"NON-COMPLIED",0,IF(COUNTIFS(INDEX($A$3:$AD$1725,0,$AG$4),INDEX($A1725:$AD1725,$AG$4),INDEX($A$3:$AD$1725,0,$AG$6),"NON-COMPLIED")=1,1,0)))))</f>
        <v>0</v>
      </c>
    </row>
    <row r="1726" customFormat="false" ht="15" hidden="false" customHeight="false" outlineLevel="0" collapsed="false">
      <c r="AH1726" s="21" t="n">
        <f aca="false">IF($AG$4=0,0,IF($AG$6=0,0,IF(INDEX($A1726:$AD1726,$AG$4)="",0,IF(INDEX($A1726:$AD1726,$AG$6)&lt;&gt;"NON-COMPLIED",0,IF(COUNTIFS(INDEX($A$3:$AD$1726,0,$AG$4),INDEX($A1726:$AD1726,$AG$4),INDEX($A$3:$AD$1726,0,$AG$6),"NON-COMPLIED")=1,1,0)))))</f>
        <v>0</v>
      </c>
    </row>
    <row r="1727" customFormat="false" ht="15" hidden="false" customHeight="false" outlineLevel="0" collapsed="false">
      <c r="AH1727" s="21" t="n">
        <f aca="false">IF($AG$4=0,0,IF($AG$6=0,0,IF(INDEX($A1727:$AD1727,$AG$4)="",0,IF(INDEX($A1727:$AD1727,$AG$6)&lt;&gt;"NON-COMPLIED",0,IF(COUNTIFS(INDEX($A$3:$AD$1727,0,$AG$4),INDEX($A1727:$AD1727,$AG$4),INDEX($A$3:$AD$1727,0,$AG$6),"NON-COMPLIED")=1,1,0)))))</f>
        <v>0</v>
      </c>
    </row>
    <row r="1728" customFormat="false" ht="15" hidden="false" customHeight="false" outlineLevel="0" collapsed="false">
      <c r="AH1728" s="21" t="n">
        <f aca="false">IF($AG$4=0,0,IF($AG$6=0,0,IF(INDEX($A1728:$AD1728,$AG$4)="",0,IF(INDEX($A1728:$AD1728,$AG$6)&lt;&gt;"NON-COMPLIED",0,IF(COUNTIFS(INDEX($A$3:$AD$1728,0,$AG$4),INDEX($A1728:$AD1728,$AG$4),INDEX($A$3:$AD$1728,0,$AG$6),"NON-COMPLIED")=1,1,0)))))</f>
        <v>0</v>
      </c>
    </row>
    <row r="1729" customFormat="false" ht="15" hidden="false" customHeight="false" outlineLevel="0" collapsed="false">
      <c r="AH1729" s="21" t="n">
        <f aca="false">IF($AG$4=0,0,IF($AG$6=0,0,IF(INDEX($A1729:$AD1729,$AG$4)="",0,IF(INDEX($A1729:$AD1729,$AG$6)&lt;&gt;"NON-COMPLIED",0,IF(COUNTIFS(INDEX($A$3:$AD$1729,0,$AG$4),INDEX($A1729:$AD1729,$AG$4),INDEX($A$3:$AD$1729,0,$AG$6),"NON-COMPLIED")=1,1,0)))))</f>
        <v>0</v>
      </c>
    </row>
    <row r="1730" customFormat="false" ht="15" hidden="false" customHeight="false" outlineLevel="0" collapsed="false">
      <c r="AH1730" s="21" t="n">
        <f aca="false">IF($AG$4=0,0,IF($AG$6=0,0,IF(INDEX($A1730:$AD1730,$AG$4)="",0,IF(INDEX($A1730:$AD1730,$AG$6)&lt;&gt;"NON-COMPLIED",0,IF(COUNTIFS(INDEX($A$3:$AD$1730,0,$AG$4),INDEX($A1730:$AD1730,$AG$4),INDEX($A$3:$AD$1730,0,$AG$6),"NON-COMPLIED")=1,1,0)))))</f>
        <v>0</v>
      </c>
    </row>
    <row r="1731" customFormat="false" ht="15" hidden="false" customHeight="false" outlineLevel="0" collapsed="false">
      <c r="AH1731" s="21" t="n">
        <f aca="false">IF($AG$4=0,0,IF($AG$6=0,0,IF(INDEX($A1731:$AD1731,$AG$4)="",0,IF(INDEX($A1731:$AD1731,$AG$6)&lt;&gt;"NON-COMPLIED",0,IF(COUNTIFS(INDEX($A$3:$AD$1731,0,$AG$4),INDEX($A1731:$AD1731,$AG$4),INDEX($A$3:$AD$1731,0,$AG$6),"NON-COMPLIED")=1,1,0)))))</f>
        <v>0</v>
      </c>
    </row>
    <row r="1732" customFormat="false" ht="15" hidden="false" customHeight="false" outlineLevel="0" collapsed="false">
      <c r="AH1732" s="21" t="n">
        <f aca="false">IF($AG$4=0,0,IF($AG$6=0,0,IF(INDEX($A1732:$AD1732,$AG$4)="",0,IF(INDEX($A1732:$AD1732,$AG$6)&lt;&gt;"NON-COMPLIED",0,IF(COUNTIFS(INDEX($A$3:$AD$1732,0,$AG$4),INDEX($A1732:$AD1732,$AG$4),INDEX($A$3:$AD$1732,0,$AG$6),"NON-COMPLIED")=1,1,0)))))</f>
        <v>0</v>
      </c>
    </row>
    <row r="1733" customFormat="false" ht="15" hidden="false" customHeight="false" outlineLevel="0" collapsed="false">
      <c r="AH1733" s="21" t="n">
        <f aca="false">IF($AG$4=0,0,IF($AG$6=0,0,IF(INDEX($A1733:$AD1733,$AG$4)="",0,IF(INDEX($A1733:$AD1733,$AG$6)&lt;&gt;"NON-COMPLIED",0,IF(COUNTIFS(INDEX($A$3:$AD$1733,0,$AG$4),INDEX($A1733:$AD1733,$AG$4),INDEX($A$3:$AD$1733,0,$AG$6),"NON-COMPLIED")=1,1,0)))))</f>
        <v>0</v>
      </c>
    </row>
    <row r="1734" customFormat="false" ht="15" hidden="false" customHeight="false" outlineLevel="0" collapsed="false">
      <c r="AH1734" s="21" t="n">
        <f aca="false">IF($AG$4=0,0,IF($AG$6=0,0,IF(INDEX($A1734:$AD1734,$AG$4)="",0,IF(INDEX($A1734:$AD1734,$AG$6)&lt;&gt;"NON-COMPLIED",0,IF(COUNTIFS(INDEX($A$3:$AD$1734,0,$AG$4),INDEX($A1734:$AD1734,$AG$4),INDEX($A$3:$AD$1734,0,$AG$6),"NON-COMPLIED")=1,1,0)))))</f>
        <v>0</v>
      </c>
    </row>
    <row r="1735" customFormat="false" ht="15" hidden="false" customHeight="false" outlineLevel="0" collapsed="false">
      <c r="AH1735" s="21" t="n">
        <f aca="false">IF($AG$4=0,0,IF($AG$6=0,0,IF(INDEX($A1735:$AD1735,$AG$4)="",0,IF(INDEX($A1735:$AD1735,$AG$6)&lt;&gt;"NON-COMPLIED",0,IF(COUNTIFS(INDEX($A$3:$AD$1735,0,$AG$4),INDEX($A1735:$AD1735,$AG$4),INDEX($A$3:$AD$1735,0,$AG$6),"NON-COMPLIED")=1,1,0)))))</f>
        <v>0</v>
      </c>
    </row>
    <row r="1736" customFormat="false" ht="15" hidden="false" customHeight="false" outlineLevel="0" collapsed="false">
      <c r="AH1736" s="21" t="n">
        <f aca="false">IF($AG$4=0,0,IF($AG$6=0,0,IF(INDEX($A1736:$AD1736,$AG$4)="",0,IF(INDEX($A1736:$AD1736,$AG$6)&lt;&gt;"NON-COMPLIED",0,IF(COUNTIFS(INDEX($A$3:$AD$1736,0,$AG$4),INDEX($A1736:$AD1736,$AG$4),INDEX($A$3:$AD$1736,0,$AG$6),"NON-COMPLIED")=1,1,0)))))</f>
        <v>0</v>
      </c>
    </row>
    <row r="1737" customFormat="false" ht="15" hidden="false" customHeight="false" outlineLevel="0" collapsed="false">
      <c r="AH1737" s="21" t="n">
        <f aca="false">IF($AG$4=0,0,IF($AG$6=0,0,IF(INDEX($A1737:$AD1737,$AG$4)="",0,IF(INDEX($A1737:$AD1737,$AG$6)&lt;&gt;"NON-COMPLIED",0,IF(COUNTIFS(INDEX($A$3:$AD$1737,0,$AG$4),INDEX($A1737:$AD1737,$AG$4),INDEX($A$3:$AD$1737,0,$AG$6),"NON-COMPLIED")=1,1,0)))))</f>
        <v>0</v>
      </c>
    </row>
    <row r="1738" customFormat="false" ht="15" hidden="false" customHeight="false" outlineLevel="0" collapsed="false">
      <c r="AH1738" s="21" t="n">
        <f aca="false">IF($AG$4=0,0,IF($AG$6=0,0,IF(INDEX($A1738:$AD1738,$AG$4)="",0,IF(INDEX($A1738:$AD1738,$AG$6)&lt;&gt;"NON-COMPLIED",0,IF(COUNTIFS(INDEX($A$3:$AD$1738,0,$AG$4),INDEX($A1738:$AD1738,$AG$4),INDEX($A$3:$AD$1738,0,$AG$6),"NON-COMPLIED")=1,1,0)))))</f>
        <v>0</v>
      </c>
    </row>
    <row r="1739" customFormat="false" ht="15" hidden="false" customHeight="false" outlineLevel="0" collapsed="false">
      <c r="AH1739" s="21" t="n">
        <f aca="false">IF($AG$4=0,0,IF($AG$6=0,0,IF(INDEX($A1739:$AD1739,$AG$4)="",0,IF(INDEX($A1739:$AD1739,$AG$6)&lt;&gt;"NON-COMPLIED",0,IF(COUNTIFS(INDEX($A$3:$AD$1739,0,$AG$4),INDEX($A1739:$AD1739,$AG$4),INDEX($A$3:$AD$1739,0,$AG$6),"NON-COMPLIED")=1,1,0)))))</f>
        <v>0</v>
      </c>
    </row>
    <row r="1740" customFormat="false" ht="15" hidden="false" customHeight="false" outlineLevel="0" collapsed="false">
      <c r="AH1740" s="21" t="n">
        <f aca="false">IF($AG$4=0,0,IF($AG$6=0,0,IF(INDEX($A1740:$AD1740,$AG$4)="",0,IF(INDEX($A1740:$AD1740,$AG$6)&lt;&gt;"NON-COMPLIED",0,IF(COUNTIFS(INDEX($A$3:$AD$1740,0,$AG$4),INDEX($A1740:$AD1740,$AG$4),INDEX($A$3:$AD$1740,0,$AG$6),"NON-COMPLIED")=1,1,0)))))</f>
        <v>0</v>
      </c>
    </row>
    <row r="1741" customFormat="false" ht="15" hidden="false" customHeight="false" outlineLevel="0" collapsed="false">
      <c r="AH1741" s="21" t="n">
        <f aca="false">IF($AG$4=0,0,IF($AG$6=0,0,IF(INDEX($A1741:$AD1741,$AG$4)="",0,IF(INDEX($A1741:$AD1741,$AG$6)&lt;&gt;"NON-COMPLIED",0,IF(COUNTIFS(INDEX($A$3:$AD$1741,0,$AG$4),INDEX($A1741:$AD1741,$AG$4),INDEX($A$3:$AD$1741,0,$AG$6),"NON-COMPLIED")=1,1,0)))))</f>
        <v>0</v>
      </c>
    </row>
    <row r="1742" customFormat="false" ht="15" hidden="false" customHeight="false" outlineLevel="0" collapsed="false">
      <c r="AH1742" s="21" t="n">
        <f aca="false">IF($AG$4=0,0,IF($AG$6=0,0,IF(INDEX($A1742:$AD1742,$AG$4)="",0,IF(INDEX($A1742:$AD1742,$AG$6)&lt;&gt;"NON-COMPLIED",0,IF(COUNTIFS(INDEX($A$3:$AD$1742,0,$AG$4),INDEX($A1742:$AD1742,$AG$4),INDEX($A$3:$AD$1742,0,$AG$6),"NON-COMPLIED")=1,1,0)))))</f>
        <v>0</v>
      </c>
    </row>
    <row r="1743" customFormat="false" ht="15" hidden="false" customHeight="false" outlineLevel="0" collapsed="false">
      <c r="AH1743" s="21" t="n">
        <f aca="false">IF($AG$4=0,0,IF($AG$6=0,0,IF(INDEX($A1743:$AD1743,$AG$4)="",0,IF(INDEX($A1743:$AD1743,$AG$6)&lt;&gt;"NON-COMPLIED",0,IF(COUNTIFS(INDEX($A$3:$AD$1743,0,$AG$4),INDEX($A1743:$AD1743,$AG$4),INDEX($A$3:$AD$1743,0,$AG$6),"NON-COMPLIED")=1,1,0)))))</f>
        <v>0</v>
      </c>
    </row>
    <row r="1744" customFormat="false" ht="15" hidden="false" customHeight="false" outlineLevel="0" collapsed="false">
      <c r="AH1744" s="21" t="n">
        <f aca="false">IF($AG$4=0,0,IF($AG$6=0,0,IF(INDEX($A1744:$AD1744,$AG$4)="",0,IF(INDEX($A1744:$AD1744,$AG$6)&lt;&gt;"NON-COMPLIED",0,IF(COUNTIFS(INDEX($A$3:$AD$1744,0,$AG$4),INDEX($A1744:$AD1744,$AG$4),INDEX($A$3:$AD$1744,0,$AG$6),"NON-COMPLIED")=1,1,0)))))</f>
        <v>0</v>
      </c>
    </row>
    <row r="1745" customFormat="false" ht="15" hidden="false" customHeight="false" outlineLevel="0" collapsed="false">
      <c r="AH1745" s="21" t="n">
        <f aca="false">IF($AG$4=0,0,IF($AG$6=0,0,IF(INDEX($A1745:$AD1745,$AG$4)="",0,IF(INDEX($A1745:$AD1745,$AG$6)&lt;&gt;"NON-COMPLIED",0,IF(COUNTIFS(INDEX($A$3:$AD$1745,0,$AG$4),INDEX($A1745:$AD1745,$AG$4),INDEX($A$3:$AD$1745,0,$AG$6),"NON-COMPLIED")=1,1,0)))))</f>
        <v>0</v>
      </c>
    </row>
    <row r="1746" customFormat="false" ht="15" hidden="false" customHeight="false" outlineLevel="0" collapsed="false">
      <c r="AH1746" s="21" t="n">
        <f aca="false">IF($AG$4=0,0,IF($AG$6=0,0,IF(INDEX($A1746:$AD1746,$AG$4)="",0,IF(INDEX($A1746:$AD1746,$AG$6)&lt;&gt;"NON-COMPLIED",0,IF(COUNTIFS(INDEX($A$3:$AD$1746,0,$AG$4),INDEX($A1746:$AD1746,$AG$4),INDEX($A$3:$AD$1746,0,$AG$6),"NON-COMPLIED")=1,1,0)))))</f>
        <v>0</v>
      </c>
    </row>
    <row r="1747" customFormat="false" ht="15" hidden="false" customHeight="false" outlineLevel="0" collapsed="false">
      <c r="AH1747" s="21" t="n">
        <f aca="false">IF($AG$4=0,0,IF($AG$6=0,0,IF(INDEX($A1747:$AD1747,$AG$4)="",0,IF(INDEX($A1747:$AD1747,$AG$6)&lt;&gt;"NON-COMPLIED",0,IF(COUNTIFS(INDEX($A$3:$AD$1747,0,$AG$4),INDEX($A1747:$AD1747,$AG$4),INDEX($A$3:$AD$1747,0,$AG$6),"NON-COMPLIED")=1,1,0)))))</f>
        <v>0</v>
      </c>
    </row>
    <row r="1748" customFormat="false" ht="15" hidden="false" customHeight="false" outlineLevel="0" collapsed="false">
      <c r="AH1748" s="21" t="n">
        <f aca="false">IF($AG$4=0,0,IF($AG$6=0,0,IF(INDEX($A1748:$AD1748,$AG$4)="",0,IF(INDEX($A1748:$AD1748,$AG$6)&lt;&gt;"NON-COMPLIED",0,IF(COUNTIFS(INDEX($A$3:$AD$1748,0,$AG$4),INDEX($A1748:$AD1748,$AG$4),INDEX($A$3:$AD$1748,0,$AG$6),"NON-COMPLIED")=1,1,0)))))</f>
        <v>0</v>
      </c>
    </row>
    <row r="1749" customFormat="false" ht="15" hidden="false" customHeight="false" outlineLevel="0" collapsed="false">
      <c r="AH1749" s="21" t="n">
        <f aca="false">IF($AG$4=0,0,IF($AG$6=0,0,IF(INDEX($A1749:$AD1749,$AG$4)="",0,IF(INDEX($A1749:$AD1749,$AG$6)&lt;&gt;"NON-COMPLIED",0,IF(COUNTIFS(INDEX($A$3:$AD$1749,0,$AG$4),INDEX($A1749:$AD1749,$AG$4),INDEX($A$3:$AD$1749,0,$AG$6),"NON-COMPLIED")=1,1,0)))))</f>
        <v>0</v>
      </c>
    </row>
    <row r="1750" customFormat="false" ht="15" hidden="false" customHeight="false" outlineLevel="0" collapsed="false">
      <c r="AH1750" s="21" t="n">
        <f aca="false">IF($AG$4=0,0,IF($AG$6=0,0,IF(INDEX($A1750:$AD1750,$AG$4)="",0,IF(INDEX($A1750:$AD1750,$AG$6)&lt;&gt;"NON-COMPLIED",0,IF(COUNTIFS(INDEX($A$3:$AD$1750,0,$AG$4),INDEX($A1750:$AD1750,$AG$4),INDEX($A$3:$AD$1750,0,$AG$6),"NON-COMPLIED")=1,1,0)))))</f>
        <v>0</v>
      </c>
    </row>
    <row r="1751" customFormat="false" ht="15" hidden="false" customHeight="false" outlineLevel="0" collapsed="false">
      <c r="AH1751" s="21" t="n">
        <f aca="false">IF($AG$4=0,0,IF($AG$6=0,0,IF(INDEX($A1751:$AD1751,$AG$4)="",0,IF(INDEX($A1751:$AD1751,$AG$6)&lt;&gt;"NON-COMPLIED",0,IF(COUNTIFS(INDEX($A$3:$AD$1751,0,$AG$4),INDEX($A1751:$AD1751,$AG$4),INDEX($A$3:$AD$1751,0,$AG$6),"NON-COMPLIED")=1,1,0)))))</f>
        <v>0</v>
      </c>
    </row>
    <row r="1752" customFormat="false" ht="15" hidden="false" customHeight="false" outlineLevel="0" collapsed="false">
      <c r="AH1752" s="21" t="n">
        <f aca="false">IF($AG$4=0,0,IF($AG$6=0,0,IF(INDEX($A1752:$AD1752,$AG$4)="",0,IF(INDEX($A1752:$AD1752,$AG$6)&lt;&gt;"NON-COMPLIED",0,IF(COUNTIFS(INDEX($A$3:$AD$1752,0,$AG$4),INDEX($A1752:$AD1752,$AG$4),INDEX($A$3:$AD$1752,0,$AG$6),"NON-COMPLIED")=1,1,0)))))</f>
        <v>0</v>
      </c>
    </row>
    <row r="1753" customFormat="false" ht="15" hidden="false" customHeight="false" outlineLevel="0" collapsed="false">
      <c r="AH1753" s="21" t="n">
        <f aca="false">IF($AG$4=0,0,IF($AG$6=0,0,IF(INDEX($A1753:$AD1753,$AG$4)="",0,IF(INDEX($A1753:$AD1753,$AG$6)&lt;&gt;"NON-COMPLIED",0,IF(COUNTIFS(INDEX($A$3:$AD$1753,0,$AG$4),INDEX($A1753:$AD1753,$AG$4),INDEX($A$3:$AD$1753,0,$AG$6),"NON-COMPLIED")=1,1,0)))))</f>
        <v>0</v>
      </c>
    </row>
    <row r="1754" customFormat="false" ht="15" hidden="false" customHeight="false" outlineLevel="0" collapsed="false">
      <c r="AH1754" s="21" t="n">
        <f aca="false">IF($AG$4=0,0,IF($AG$6=0,0,IF(INDEX($A1754:$AD1754,$AG$4)="",0,IF(INDEX($A1754:$AD1754,$AG$6)&lt;&gt;"NON-COMPLIED",0,IF(COUNTIFS(INDEX($A$3:$AD$1754,0,$AG$4),INDEX($A1754:$AD1754,$AG$4),INDEX($A$3:$AD$1754,0,$AG$6),"NON-COMPLIED")=1,1,0)))))</f>
        <v>0</v>
      </c>
    </row>
    <row r="1755" customFormat="false" ht="15" hidden="false" customHeight="false" outlineLevel="0" collapsed="false">
      <c r="AH1755" s="21" t="n">
        <f aca="false">IF($AG$4=0,0,IF($AG$6=0,0,IF(INDEX($A1755:$AD1755,$AG$4)="",0,IF(INDEX($A1755:$AD1755,$AG$6)&lt;&gt;"NON-COMPLIED",0,IF(COUNTIFS(INDEX($A$3:$AD$1755,0,$AG$4),INDEX($A1755:$AD1755,$AG$4),INDEX($A$3:$AD$1755,0,$AG$6),"NON-COMPLIED")=1,1,0)))))</f>
        <v>0</v>
      </c>
    </row>
    <row r="1756" customFormat="false" ht="15" hidden="false" customHeight="false" outlineLevel="0" collapsed="false">
      <c r="AH1756" s="21" t="n">
        <f aca="false">IF($AG$4=0,0,IF($AG$6=0,0,IF(INDEX($A1756:$AD1756,$AG$4)="",0,IF(INDEX($A1756:$AD1756,$AG$6)&lt;&gt;"NON-COMPLIED",0,IF(COUNTIFS(INDEX($A$3:$AD$1756,0,$AG$4),INDEX($A1756:$AD1756,$AG$4),INDEX($A$3:$AD$1756,0,$AG$6),"NON-COMPLIED")=1,1,0)))))</f>
        <v>0</v>
      </c>
    </row>
    <row r="1757" customFormat="false" ht="15" hidden="false" customHeight="false" outlineLevel="0" collapsed="false">
      <c r="AH1757" s="21" t="n">
        <f aca="false">IF($AG$4=0,0,IF($AG$6=0,0,IF(INDEX($A1757:$AD1757,$AG$4)="",0,IF(INDEX($A1757:$AD1757,$AG$6)&lt;&gt;"NON-COMPLIED",0,IF(COUNTIFS(INDEX($A$3:$AD$1757,0,$AG$4),INDEX($A1757:$AD1757,$AG$4),INDEX($A$3:$AD$1757,0,$AG$6),"NON-COMPLIED")=1,1,0)))))</f>
        <v>0</v>
      </c>
    </row>
    <row r="1758" customFormat="false" ht="15" hidden="false" customHeight="false" outlineLevel="0" collapsed="false">
      <c r="AH1758" s="21" t="n">
        <f aca="false">IF($AG$4=0,0,IF($AG$6=0,0,IF(INDEX($A1758:$AD1758,$AG$4)="",0,IF(INDEX($A1758:$AD1758,$AG$6)&lt;&gt;"NON-COMPLIED",0,IF(COUNTIFS(INDEX($A$3:$AD$1758,0,$AG$4),INDEX($A1758:$AD1758,$AG$4),INDEX($A$3:$AD$1758,0,$AG$6),"NON-COMPLIED")=1,1,0)))))</f>
        <v>0</v>
      </c>
    </row>
    <row r="1759" customFormat="false" ht="15" hidden="false" customHeight="false" outlineLevel="0" collapsed="false">
      <c r="AH1759" s="21" t="n">
        <f aca="false">IF($AG$4=0,0,IF($AG$6=0,0,IF(INDEX($A1759:$AD1759,$AG$4)="",0,IF(INDEX($A1759:$AD1759,$AG$6)&lt;&gt;"NON-COMPLIED",0,IF(COUNTIFS(INDEX($A$3:$AD$1759,0,$AG$4),INDEX($A1759:$AD1759,$AG$4),INDEX($A$3:$AD$1759,0,$AG$6),"NON-COMPLIED")=1,1,0)))))</f>
        <v>0</v>
      </c>
    </row>
    <row r="1760" customFormat="false" ht="15" hidden="false" customHeight="false" outlineLevel="0" collapsed="false">
      <c r="AH1760" s="21" t="n">
        <f aca="false">IF($AG$4=0,0,IF($AG$6=0,0,IF(INDEX($A1760:$AD1760,$AG$4)="",0,IF(INDEX($A1760:$AD1760,$AG$6)&lt;&gt;"NON-COMPLIED",0,IF(COUNTIFS(INDEX($A$3:$AD$1760,0,$AG$4),INDEX($A1760:$AD1760,$AG$4),INDEX($A$3:$AD$1760,0,$AG$6),"NON-COMPLIED")=1,1,0)))))</f>
        <v>0</v>
      </c>
    </row>
    <row r="1761" customFormat="false" ht="15" hidden="false" customHeight="false" outlineLevel="0" collapsed="false">
      <c r="AH1761" s="21" t="n">
        <f aca="false">IF($AG$4=0,0,IF($AG$6=0,0,IF(INDEX($A1761:$AD1761,$AG$4)="",0,IF(INDEX($A1761:$AD1761,$AG$6)&lt;&gt;"NON-COMPLIED",0,IF(COUNTIFS(INDEX($A$3:$AD$1761,0,$AG$4),INDEX($A1761:$AD1761,$AG$4),INDEX($A$3:$AD$1761,0,$AG$6),"NON-COMPLIED")=1,1,0)))))</f>
        <v>0</v>
      </c>
    </row>
    <row r="1762" customFormat="false" ht="15" hidden="false" customHeight="false" outlineLevel="0" collapsed="false">
      <c r="AH1762" s="21" t="n">
        <f aca="false">IF($AG$4=0,0,IF($AG$6=0,0,IF(INDEX($A1762:$AD1762,$AG$4)="",0,IF(INDEX($A1762:$AD1762,$AG$6)&lt;&gt;"NON-COMPLIED",0,IF(COUNTIFS(INDEX($A$3:$AD$1762,0,$AG$4),INDEX($A1762:$AD1762,$AG$4),INDEX($A$3:$AD$1762,0,$AG$6),"NON-COMPLIED")=1,1,0)))))</f>
        <v>0</v>
      </c>
    </row>
    <row r="1763" customFormat="false" ht="15" hidden="false" customHeight="false" outlineLevel="0" collapsed="false">
      <c r="AH1763" s="21" t="n">
        <f aca="false">IF($AG$4=0,0,IF($AG$6=0,0,IF(INDEX($A1763:$AD1763,$AG$4)="",0,IF(INDEX($A1763:$AD1763,$AG$6)&lt;&gt;"NON-COMPLIED",0,IF(COUNTIFS(INDEX($A$3:$AD$1763,0,$AG$4),INDEX($A1763:$AD1763,$AG$4),INDEX($A$3:$AD$1763,0,$AG$6),"NON-COMPLIED")=1,1,0)))))</f>
        <v>0</v>
      </c>
    </row>
    <row r="1764" customFormat="false" ht="15" hidden="false" customHeight="false" outlineLevel="0" collapsed="false">
      <c r="AH1764" s="21" t="n">
        <f aca="false">IF($AG$4=0,0,IF($AG$6=0,0,IF(INDEX($A1764:$AD1764,$AG$4)="",0,IF(INDEX($A1764:$AD1764,$AG$6)&lt;&gt;"NON-COMPLIED",0,IF(COUNTIFS(INDEX($A$3:$AD$1764,0,$AG$4),INDEX($A1764:$AD1764,$AG$4),INDEX($A$3:$AD$1764,0,$AG$6),"NON-COMPLIED")=1,1,0)))))</f>
        <v>0</v>
      </c>
    </row>
    <row r="1765" customFormat="false" ht="15" hidden="false" customHeight="false" outlineLevel="0" collapsed="false">
      <c r="AH1765" s="21" t="n">
        <f aca="false">IF($AG$4=0,0,IF($AG$6=0,0,IF(INDEX($A1765:$AD1765,$AG$4)="",0,IF(INDEX($A1765:$AD1765,$AG$6)&lt;&gt;"NON-COMPLIED",0,IF(COUNTIFS(INDEX($A$3:$AD$1765,0,$AG$4),INDEX($A1765:$AD1765,$AG$4),INDEX($A$3:$AD$1765,0,$AG$6),"NON-COMPLIED")=1,1,0)))))</f>
        <v>0</v>
      </c>
    </row>
    <row r="1766" customFormat="false" ht="15" hidden="false" customHeight="false" outlineLevel="0" collapsed="false">
      <c r="AH1766" s="21" t="n">
        <f aca="false">IF($AG$4=0,0,IF($AG$6=0,0,IF(INDEX($A1766:$AD1766,$AG$4)="",0,IF(INDEX($A1766:$AD1766,$AG$6)&lt;&gt;"NON-COMPLIED",0,IF(COUNTIFS(INDEX($A$3:$AD$1766,0,$AG$4),INDEX($A1766:$AD1766,$AG$4),INDEX($A$3:$AD$1766,0,$AG$6),"NON-COMPLIED")=1,1,0)))))</f>
        <v>0</v>
      </c>
    </row>
    <row r="1767" customFormat="false" ht="15" hidden="false" customHeight="false" outlineLevel="0" collapsed="false">
      <c r="AH1767" s="21" t="n">
        <f aca="false">IF($AG$4=0,0,IF($AG$6=0,0,IF(INDEX($A1767:$AD1767,$AG$4)="",0,IF(INDEX($A1767:$AD1767,$AG$6)&lt;&gt;"NON-COMPLIED",0,IF(COUNTIFS(INDEX($A$3:$AD$1767,0,$AG$4),INDEX($A1767:$AD1767,$AG$4),INDEX($A$3:$AD$1767,0,$AG$6),"NON-COMPLIED")=1,1,0)))))</f>
        <v>0</v>
      </c>
    </row>
    <row r="1768" customFormat="false" ht="15" hidden="false" customHeight="false" outlineLevel="0" collapsed="false">
      <c r="AH1768" s="21" t="n">
        <f aca="false">IF($AG$4=0,0,IF($AG$6=0,0,IF(INDEX($A1768:$AD1768,$AG$4)="",0,IF(INDEX($A1768:$AD1768,$AG$6)&lt;&gt;"NON-COMPLIED",0,IF(COUNTIFS(INDEX($A$3:$AD$1768,0,$AG$4),INDEX($A1768:$AD1768,$AG$4),INDEX($A$3:$AD$1768,0,$AG$6),"NON-COMPLIED")=1,1,0)))))</f>
        <v>0</v>
      </c>
    </row>
    <row r="1769" customFormat="false" ht="15" hidden="false" customHeight="false" outlineLevel="0" collapsed="false">
      <c r="AH1769" s="21" t="n">
        <f aca="false">IF($AG$4=0,0,IF($AG$6=0,0,IF(INDEX($A1769:$AD1769,$AG$4)="",0,IF(INDEX($A1769:$AD1769,$AG$6)&lt;&gt;"NON-COMPLIED",0,IF(COUNTIFS(INDEX($A$3:$AD$1769,0,$AG$4),INDEX($A1769:$AD1769,$AG$4),INDEX($A$3:$AD$1769,0,$AG$6),"NON-COMPLIED")=1,1,0)))))</f>
        <v>0</v>
      </c>
    </row>
    <row r="1770" customFormat="false" ht="15" hidden="false" customHeight="false" outlineLevel="0" collapsed="false">
      <c r="AH1770" s="21" t="n">
        <f aca="false">IF($AG$4=0,0,IF($AG$6=0,0,IF(INDEX($A1770:$AD1770,$AG$4)="",0,IF(INDEX($A1770:$AD1770,$AG$6)&lt;&gt;"NON-COMPLIED",0,IF(COUNTIFS(INDEX($A$3:$AD$1770,0,$AG$4),INDEX($A1770:$AD1770,$AG$4),INDEX($A$3:$AD$1770,0,$AG$6),"NON-COMPLIED")=1,1,0)))))</f>
        <v>0</v>
      </c>
    </row>
    <row r="1771" customFormat="false" ht="15" hidden="false" customHeight="false" outlineLevel="0" collapsed="false">
      <c r="AH1771" s="21" t="n">
        <f aca="false">IF($AG$4=0,0,IF($AG$6=0,0,IF(INDEX($A1771:$AD1771,$AG$4)="",0,IF(INDEX($A1771:$AD1771,$AG$6)&lt;&gt;"NON-COMPLIED",0,IF(COUNTIFS(INDEX($A$3:$AD$1771,0,$AG$4),INDEX($A1771:$AD1771,$AG$4),INDEX($A$3:$AD$1771,0,$AG$6),"NON-COMPLIED")=1,1,0)))))</f>
        <v>0</v>
      </c>
    </row>
    <row r="1772" customFormat="false" ht="15" hidden="false" customHeight="false" outlineLevel="0" collapsed="false">
      <c r="AH1772" s="21" t="n">
        <f aca="false">IF($AG$4=0,0,IF($AG$6=0,0,IF(INDEX($A1772:$AD1772,$AG$4)="",0,IF(INDEX($A1772:$AD1772,$AG$6)&lt;&gt;"NON-COMPLIED",0,IF(COUNTIFS(INDEX($A$3:$AD$1772,0,$AG$4),INDEX($A1772:$AD1772,$AG$4),INDEX($A$3:$AD$1772,0,$AG$6),"NON-COMPLIED")=1,1,0)))))</f>
        <v>0</v>
      </c>
    </row>
    <row r="1773" customFormat="false" ht="15" hidden="false" customHeight="false" outlineLevel="0" collapsed="false">
      <c r="AH1773" s="21" t="n">
        <f aca="false">IF($AG$4=0,0,IF($AG$6=0,0,IF(INDEX($A1773:$AD1773,$AG$4)="",0,IF(INDEX($A1773:$AD1773,$AG$6)&lt;&gt;"NON-COMPLIED",0,IF(COUNTIFS(INDEX($A$3:$AD$1773,0,$AG$4),INDEX($A1773:$AD1773,$AG$4),INDEX($A$3:$AD$1773,0,$AG$6),"NON-COMPLIED")=1,1,0)))))</f>
        <v>0</v>
      </c>
    </row>
    <row r="1774" customFormat="false" ht="15" hidden="false" customHeight="false" outlineLevel="0" collapsed="false">
      <c r="AH1774" s="21" t="n">
        <f aca="false">IF($AG$4=0,0,IF($AG$6=0,0,IF(INDEX($A1774:$AD1774,$AG$4)="",0,IF(INDEX($A1774:$AD1774,$AG$6)&lt;&gt;"NON-COMPLIED",0,IF(COUNTIFS(INDEX($A$3:$AD$1774,0,$AG$4),INDEX($A1774:$AD1774,$AG$4),INDEX($A$3:$AD$1774,0,$AG$6),"NON-COMPLIED")=1,1,0)))))</f>
        <v>0</v>
      </c>
    </row>
    <row r="1775" customFormat="false" ht="15" hidden="false" customHeight="false" outlineLevel="0" collapsed="false">
      <c r="AH1775" s="21" t="n">
        <f aca="false">IF($AG$4=0,0,IF($AG$6=0,0,IF(INDEX($A1775:$AD1775,$AG$4)="",0,IF(INDEX($A1775:$AD1775,$AG$6)&lt;&gt;"NON-COMPLIED",0,IF(COUNTIFS(INDEX($A$3:$AD$1775,0,$AG$4),INDEX($A1775:$AD1775,$AG$4),INDEX($A$3:$AD$1775,0,$AG$6),"NON-COMPLIED")=1,1,0)))))</f>
        <v>0</v>
      </c>
    </row>
    <row r="1776" customFormat="false" ht="15" hidden="false" customHeight="false" outlineLevel="0" collapsed="false">
      <c r="AH1776" s="21" t="n">
        <f aca="false">IF($AG$4=0,0,IF($AG$6=0,0,IF(INDEX($A1776:$AD1776,$AG$4)="",0,IF(INDEX($A1776:$AD1776,$AG$6)&lt;&gt;"NON-COMPLIED",0,IF(COUNTIFS(INDEX($A$3:$AD$1776,0,$AG$4),INDEX($A1776:$AD1776,$AG$4),INDEX($A$3:$AD$1776,0,$AG$6),"NON-COMPLIED")=1,1,0)))))</f>
        <v>0</v>
      </c>
    </row>
    <row r="1777" customFormat="false" ht="15" hidden="false" customHeight="false" outlineLevel="0" collapsed="false">
      <c r="AH1777" s="21" t="n">
        <f aca="false">IF($AG$4=0,0,IF($AG$6=0,0,IF(INDEX($A1777:$AD1777,$AG$4)="",0,IF(INDEX($A1777:$AD1777,$AG$6)&lt;&gt;"NON-COMPLIED",0,IF(COUNTIFS(INDEX($A$3:$AD$1777,0,$AG$4),INDEX($A1777:$AD1777,$AG$4),INDEX($A$3:$AD$1777,0,$AG$6),"NON-COMPLIED")=1,1,0)))))</f>
        <v>0</v>
      </c>
    </row>
    <row r="1778" customFormat="false" ht="15" hidden="false" customHeight="false" outlineLevel="0" collapsed="false">
      <c r="AH1778" s="21" t="n">
        <f aca="false">IF($AG$4=0,0,IF($AG$6=0,0,IF(INDEX($A1778:$AD1778,$AG$4)="",0,IF(INDEX($A1778:$AD1778,$AG$6)&lt;&gt;"NON-COMPLIED",0,IF(COUNTIFS(INDEX($A$3:$AD$1778,0,$AG$4),INDEX($A1778:$AD1778,$AG$4),INDEX($A$3:$AD$1778,0,$AG$6),"NON-COMPLIED")=1,1,0)))))</f>
        <v>0</v>
      </c>
    </row>
    <row r="1779" customFormat="false" ht="15" hidden="false" customHeight="false" outlineLevel="0" collapsed="false">
      <c r="AH1779" s="21" t="n">
        <f aca="false">IF($AG$4=0,0,IF($AG$6=0,0,IF(INDEX($A1779:$AD1779,$AG$4)="",0,IF(INDEX($A1779:$AD1779,$AG$6)&lt;&gt;"NON-COMPLIED",0,IF(COUNTIFS(INDEX($A$3:$AD$1779,0,$AG$4),INDEX($A1779:$AD1779,$AG$4),INDEX($A$3:$AD$1779,0,$AG$6),"NON-COMPLIED")=1,1,0)))))</f>
        <v>0</v>
      </c>
    </row>
    <row r="1780" customFormat="false" ht="15" hidden="false" customHeight="false" outlineLevel="0" collapsed="false">
      <c r="AH1780" s="21" t="n">
        <f aca="false">IF($AG$4=0,0,IF($AG$6=0,0,IF(INDEX($A1780:$AD1780,$AG$4)="",0,IF(INDEX($A1780:$AD1780,$AG$6)&lt;&gt;"NON-COMPLIED",0,IF(COUNTIFS(INDEX($A$3:$AD$1780,0,$AG$4),INDEX($A1780:$AD1780,$AG$4),INDEX($A$3:$AD$1780,0,$AG$6),"NON-COMPLIED")=1,1,0)))))</f>
        <v>0</v>
      </c>
    </row>
    <row r="1781" customFormat="false" ht="15" hidden="false" customHeight="false" outlineLevel="0" collapsed="false">
      <c r="AH1781" s="21" t="n">
        <f aca="false">IF($AG$4=0,0,IF($AG$6=0,0,IF(INDEX($A1781:$AD1781,$AG$4)="",0,IF(INDEX($A1781:$AD1781,$AG$6)&lt;&gt;"NON-COMPLIED",0,IF(COUNTIFS(INDEX($A$3:$AD$1781,0,$AG$4),INDEX($A1781:$AD1781,$AG$4),INDEX($A$3:$AD$1781,0,$AG$6),"NON-COMPLIED")=1,1,0)))))</f>
        <v>0</v>
      </c>
    </row>
    <row r="1782" customFormat="false" ht="15" hidden="false" customHeight="false" outlineLevel="0" collapsed="false">
      <c r="AH1782" s="21" t="n">
        <f aca="false">IF($AG$4=0,0,IF($AG$6=0,0,IF(INDEX($A1782:$AD1782,$AG$4)="",0,IF(INDEX($A1782:$AD1782,$AG$6)&lt;&gt;"NON-COMPLIED",0,IF(COUNTIFS(INDEX($A$3:$AD$1782,0,$AG$4),INDEX($A1782:$AD1782,$AG$4),INDEX($A$3:$AD$1782,0,$AG$6),"NON-COMPLIED")=1,1,0)))))</f>
        <v>0</v>
      </c>
    </row>
    <row r="1783" customFormat="false" ht="15" hidden="false" customHeight="false" outlineLevel="0" collapsed="false">
      <c r="AH1783" s="21" t="n">
        <f aca="false">IF($AG$4=0,0,IF($AG$6=0,0,IF(INDEX($A1783:$AD1783,$AG$4)="",0,IF(INDEX($A1783:$AD1783,$AG$6)&lt;&gt;"NON-COMPLIED",0,IF(COUNTIFS(INDEX($A$3:$AD$1783,0,$AG$4),INDEX($A1783:$AD1783,$AG$4),INDEX($A$3:$AD$1783,0,$AG$6),"NON-COMPLIED")=1,1,0)))))</f>
        <v>0</v>
      </c>
    </row>
    <row r="1784" customFormat="false" ht="15" hidden="false" customHeight="false" outlineLevel="0" collapsed="false">
      <c r="AH1784" s="21" t="n">
        <f aca="false">IF($AG$4=0,0,IF($AG$6=0,0,IF(INDEX($A1784:$AD1784,$AG$4)="",0,IF(INDEX($A1784:$AD1784,$AG$6)&lt;&gt;"NON-COMPLIED",0,IF(COUNTIFS(INDEX($A$3:$AD$1784,0,$AG$4),INDEX($A1784:$AD1784,$AG$4),INDEX($A$3:$AD$1784,0,$AG$6),"NON-COMPLIED")=1,1,0)))))</f>
        <v>0</v>
      </c>
    </row>
    <row r="1785" customFormat="false" ht="15" hidden="false" customHeight="false" outlineLevel="0" collapsed="false">
      <c r="AH1785" s="21" t="n">
        <f aca="false">IF($AG$4=0,0,IF($AG$6=0,0,IF(INDEX($A1785:$AD1785,$AG$4)="",0,IF(INDEX($A1785:$AD1785,$AG$6)&lt;&gt;"NON-COMPLIED",0,IF(COUNTIFS(INDEX($A$3:$AD$1785,0,$AG$4),INDEX($A1785:$AD1785,$AG$4),INDEX($A$3:$AD$1785,0,$AG$6),"NON-COMPLIED")=1,1,0)))))</f>
        <v>0</v>
      </c>
    </row>
    <row r="1786" customFormat="false" ht="15" hidden="false" customHeight="false" outlineLevel="0" collapsed="false">
      <c r="AH1786" s="21" t="n">
        <f aca="false">IF($AG$4=0,0,IF($AG$6=0,0,IF(INDEX($A1786:$AD1786,$AG$4)="",0,IF(INDEX($A1786:$AD1786,$AG$6)&lt;&gt;"NON-COMPLIED",0,IF(COUNTIFS(INDEX($A$3:$AD$1786,0,$AG$4),INDEX($A1786:$AD1786,$AG$4),INDEX($A$3:$AD$1786,0,$AG$6),"NON-COMPLIED")=1,1,0)))))</f>
        <v>0</v>
      </c>
    </row>
    <row r="1787" customFormat="false" ht="15" hidden="false" customHeight="false" outlineLevel="0" collapsed="false">
      <c r="AH1787" s="21" t="n">
        <f aca="false">IF($AG$4=0,0,IF($AG$6=0,0,IF(INDEX($A1787:$AD1787,$AG$4)="",0,IF(INDEX($A1787:$AD1787,$AG$6)&lt;&gt;"NON-COMPLIED",0,IF(COUNTIFS(INDEX($A$3:$AD$1787,0,$AG$4),INDEX($A1787:$AD1787,$AG$4),INDEX($A$3:$AD$1787,0,$AG$6),"NON-COMPLIED")=1,1,0)))))</f>
        <v>0</v>
      </c>
    </row>
    <row r="1788" customFormat="false" ht="15" hidden="false" customHeight="false" outlineLevel="0" collapsed="false">
      <c r="AH1788" s="21" t="n">
        <f aca="false">IF($AG$4=0,0,IF($AG$6=0,0,IF(INDEX($A1788:$AD1788,$AG$4)="",0,IF(INDEX($A1788:$AD1788,$AG$6)&lt;&gt;"NON-COMPLIED",0,IF(COUNTIFS(INDEX($A$3:$AD$1788,0,$AG$4),INDEX($A1788:$AD1788,$AG$4),INDEX($A$3:$AD$1788,0,$AG$6),"NON-COMPLIED")=1,1,0)))))</f>
        <v>0</v>
      </c>
    </row>
    <row r="1789" customFormat="false" ht="15" hidden="false" customHeight="false" outlineLevel="0" collapsed="false">
      <c r="AH1789" s="21" t="n">
        <f aca="false">IF($AG$4=0,0,IF($AG$6=0,0,IF(INDEX($A1789:$AD1789,$AG$4)="",0,IF(INDEX($A1789:$AD1789,$AG$6)&lt;&gt;"NON-COMPLIED",0,IF(COUNTIFS(INDEX($A$3:$AD$1789,0,$AG$4),INDEX($A1789:$AD1789,$AG$4),INDEX($A$3:$AD$1789,0,$AG$6),"NON-COMPLIED")=1,1,0)))))</f>
        <v>0</v>
      </c>
    </row>
    <row r="1790" customFormat="false" ht="15" hidden="false" customHeight="false" outlineLevel="0" collapsed="false">
      <c r="AH1790" s="21" t="n">
        <f aca="false">IF($AG$4=0,0,IF($AG$6=0,0,IF(INDEX($A1790:$AD1790,$AG$4)="",0,IF(INDEX($A1790:$AD1790,$AG$6)&lt;&gt;"NON-COMPLIED",0,IF(COUNTIFS(INDEX($A$3:$AD$1790,0,$AG$4),INDEX($A1790:$AD1790,$AG$4),INDEX($A$3:$AD$1790,0,$AG$6),"NON-COMPLIED")=1,1,0)))))</f>
        <v>0</v>
      </c>
    </row>
    <row r="1791" customFormat="false" ht="15" hidden="false" customHeight="false" outlineLevel="0" collapsed="false">
      <c r="AH1791" s="21" t="n">
        <f aca="false">IF($AG$4=0,0,IF($AG$6=0,0,IF(INDEX($A1791:$AD1791,$AG$4)="",0,IF(INDEX($A1791:$AD1791,$AG$6)&lt;&gt;"NON-COMPLIED",0,IF(COUNTIFS(INDEX($A$3:$AD$1791,0,$AG$4),INDEX($A1791:$AD1791,$AG$4),INDEX($A$3:$AD$1791,0,$AG$6),"NON-COMPLIED")=1,1,0)))))</f>
        <v>0</v>
      </c>
    </row>
    <row r="1792" customFormat="false" ht="15" hidden="false" customHeight="false" outlineLevel="0" collapsed="false">
      <c r="AH1792" s="21" t="n">
        <f aca="false">IF($AG$4=0,0,IF($AG$6=0,0,IF(INDEX($A1792:$AD1792,$AG$4)="",0,IF(INDEX($A1792:$AD1792,$AG$6)&lt;&gt;"NON-COMPLIED",0,IF(COUNTIFS(INDEX($A$3:$AD$1792,0,$AG$4),INDEX($A1792:$AD1792,$AG$4),INDEX($A$3:$AD$1792,0,$AG$6),"NON-COMPLIED")=1,1,0)))))</f>
        <v>0</v>
      </c>
    </row>
    <row r="1793" customFormat="false" ht="15" hidden="false" customHeight="false" outlineLevel="0" collapsed="false">
      <c r="AH1793" s="21" t="n">
        <f aca="false">IF($AG$4=0,0,IF($AG$6=0,0,IF(INDEX($A1793:$AD1793,$AG$4)="",0,IF(INDEX($A1793:$AD1793,$AG$6)&lt;&gt;"NON-COMPLIED",0,IF(COUNTIFS(INDEX($A$3:$AD$1793,0,$AG$4),INDEX($A1793:$AD1793,$AG$4),INDEX($A$3:$AD$1793,0,$AG$6),"NON-COMPLIED")=1,1,0)))))</f>
        <v>0</v>
      </c>
    </row>
    <row r="1794" customFormat="false" ht="15" hidden="false" customHeight="false" outlineLevel="0" collapsed="false">
      <c r="AH1794" s="21" t="n">
        <f aca="false">IF($AG$4=0,0,IF($AG$6=0,0,IF(INDEX($A1794:$AD1794,$AG$4)="",0,IF(INDEX($A1794:$AD1794,$AG$6)&lt;&gt;"NON-COMPLIED",0,IF(COUNTIFS(INDEX($A$3:$AD$1794,0,$AG$4),INDEX($A1794:$AD1794,$AG$4),INDEX($A$3:$AD$1794,0,$AG$6),"NON-COMPLIED")=1,1,0)))))</f>
        <v>0</v>
      </c>
    </row>
    <row r="1795" customFormat="false" ht="15" hidden="false" customHeight="false" outlineLevel="0" collapsed="false">
      <c r="AH1795" s="21" t="n">
        <f aca="false">IF($AG$4=0,0,IF($AG$6=0,0,IF(INDEX($A1795:$AD1795,$AG$4)="",0,IF(INDEX($A1795:$AD1795,$AG$6)&lt;&gt;"NON-COMPLIED",0,IF(COUNTIFS(INDEX($A$3:$AD$1795,0,$AG$4),INDEX($A1795:$AD1795,$AG$4),INDEX($A$3:$AD$1795,0,$AG$6),"NON-COMPLIED")=1,1,0)))))</f>
        <v>0</v>
      </c>
    </row>
    <row r="1796" customFormat="false" ht="15" hidden="false" customHeight="false" outlineLevel="0" collapsed="false">
      <c r="AH1796" s="21" t="n">
        <f aca="false">IF($AG$4=0,0,IF($AG$6=0,0,IF(INDEX($A1796:$AD1796,$AG$4)="",0,IF(INDEX($A1796:$AD1796,$AG$6)&lt;&gt;"NON-COMPLIED",0,IF(COUNTIFS(INDEX($A$3:$AD$1796,0,$AG$4),INDEX($A1796:$AD1796,$AG$4),INDEX($A$3:$AD$1796,0,$AG$6),"NON-COMPLIED")=1,1,0)))))</f>
        <v>0</v>
      </c>
    </row>
    <row r="1797" customFormat="false" ht="15" hidden="false" customHeight="false" outlineLevel="0" collapsed="false">
      <c r="AH1797" s="21" t="n">
        <f aca="false">IF($AG$4=0,0,IF($AG$6=0,0,IF(INDEX($A1797:$AD1797,$AG$4)="",0,IF(INDEX($A1797:$AD1797,$AG$6)&lt;&gt;"NON-COMPLIED",0,IF(COUNTIFS(INDEX($A$3:$AD$1797,0,$AG$4),INDEX($A1797:$AD1797,$AG$4),INDEX($A$3:$AD$1797,0,$AG$6),"NON-COMPLIED")=1,1,0)))))</f>
        <v>0</v>
      </c>
    </row>
    <row r="1798" customFormat="false" ht="15" hidden="false" customHeight="false" outlineLevel="0" collapsed="false">
      <c r="AH1798" s="21" t="n">
        <f aca="false">IF($AG$4=0,0,IF($AG$6=0,0,IF(INDEX($A1798:$AD1798,$AG$4)="",0,IF(INDEX($A1798:$AD1798,$AG$6)&lt;&gt;"NON-COMPLIED",0,IF(COUNTIFS(INDEX($A$3:$AD$1798,0,$AG$4),INDEX($A1798:$AD1798,$AG$4),INDEX($A$3:$AD$1798,0,$AG$6),"NON-COMPLIED")=1,1,0)))))</f>
        <v>0</v>
      </c>
    </row>
    <row r="1799" customFormat="false" ht="15" hidden="false" customHeight="false" outlineLevel="0" collapsed="false">
      <c r="AH1799" s="21" t="n">
        <f aca="false">IF($AG$4=0,0,IF($AG$6=0,0,IF(INDEX($A1799:$AD1799,$AG$4)="",0,IF(INDEX($A1799:$AD1799,$AG$6)&lt;&gt;"NON-COMPLIED",0,IF(COUNTIFS(INDEX($A$3:$AD$1799,0,$AG$4),INDEX($A1799:$AD1799,$AG$4),INDEX($A$3:$AD$1799,0,$AG$6),"NON-COMPLIED")=1,1,0)))))</f>
        <v>0</v>
      </c>
    </row>
    <row r="1800" customFormat="false" ht="15" hidden="false" customHeight="false" outlineLevel="0" collapsed="false">
      <c r="AH1800" s="21" t="n">
        <f aca="false">IF($AG$4=0,0,IF($AG$6=0,0,IF(INDEX($A1800:$AD1800,$AG$4)="",0,IF(INDEX($A1800:$AD1800,$AG$6)&lt;&gt;"NON-COMPLIED",0,IF(COUNTIFS(INDEX($A$3:$AD$1800,0,$AG$4),INDEX($A1800:$AD1800,$AG$4),INDEX($A$3:$AD$1800,0,$AG$6),"NON-COMPLIED")=1,1,0)))))</f>
        <v>0</v>
      </c>
    </row>
    <row r="1801" customFormat="false" ht="15" hidden="false" customHeight="false" outlineLevel="0" collapsed="false">
      <c r="AH1801" s="21" t="n">
        <f aca="false">IF($AG$4=0,0,IF($AG$6=0,0,IF(INDEX($A1801:$AD1801,$AG$4)="",0,IF(INDEX($A1801:$AD1801,$AG$6)&lt;&gt;"NON-COMPLIED",0,IF(COUNTIFS(INDEX($A$3:$AD$1801,0,$AG$4),INDEX($A1801:$AD1801,$AG$4),INDEX($A$3:$AD$1801,0,$AG$6),"NON-COMPLIED")=1,1,0)))))</f>
        <v>0</v>
      </c>
    </row>
    <row r="1802" customFormat="false" ht="15" hidden="false" customHeight="false" outlineLevel="0" collapsed="false">
      <c r="AH1802" s="21" t="n">
        <f aca="false">IF($AG$4=0,0,IF($AG$6=0,0,IF(INDEX($A1802:$AD1802,$AG$4)="",0,IF(INDEX($A1802:$AD1802,$AG$6)&lt;&gt;"NON-COMPLIED",0,IF(COUNTIFS(INDEX($A$3:$AD$1802,0,$AG$4),INDEX($A1802:$AD1802,$AG$4),INDEX($A$3:$AD$1802,0,$AG$6),"NON-COMPLIED")=1,1,0)))))</f>
        <v>0</v>
      </c>
    </row>
    <row r="1803" customFormat="false" ht="15" hidden="false" customHeight="false" outlineLevel="0" collapsed="false">
      <c r="AH1803" s="21" t="n">
        <f aca="false">IF($AG$4=0,0,IF($AG$6=0,0,IF(INDEX($A1803:$AD1803,$AG$4)="",0,IF(INDEX($A1803:$AD1803,$AG$6)&lt;&gt;"NON-COMPLIED",0,IF(COUNTIFS(INDEX($A$3:$AD$1803,0,$AG$4),INDEX($A1803:$AD1803,$AG$4),INDEX($A$3:$AD$1803,0,$AG$6),"NON-COMPLIED")=1,1,0)))))</f>
        <v>0</v>
      </c>
    </row>
    <row r="1804" customFormat="false" ht="15" hidden="false" customHeight="false" outlineLevel="0" collapsed="false">
      <c r="AH1804" s="21" t="n">
        <f aca="false">IF($AG$4=0,0,IF($AG$6=0,0,IF(INDEX($A1804:$AD1804,$AG$4)="",0,IF(INDEX($A1804:$AD1804,$AG$6)&lt;&gt;"NON-COMPLIED",0,IF(COUNTIFS(INDEX($A$3:$AD$1804,0,$AG$4),INDEX($A1804:$AD1804,$AG$4),INDEX($A$3:$AD$1804,0,$AG$6),"NON-COMPLIED")=1,1,0)))))</f>
        <v>0</v>
      </c>
    </row>
    <row r="1805" customFormat="false" ht="15" hidden="false" customHeight="false" outlineLevel="0" collapsed="false">
      <c r="AH1805" s="21" t="n">
        <f aca="false">IF($AG$4=0,0,IF($AG$6=0,0,IF(INDEX($A1805:$AD1805,$AG$4)="",0,IF(INDEX($A1805:$AD1805,$AG$6)&lt;&gt;"NON-COMPLIED",0,IF(COUNTIFS(INDEX($A$3:$AD$1805,0,$AG$4),INDEX($A1805:$AD1805,$AG$4),INDEX($A$3:$AD$1805,0,$AG$6),"NON-COMPLIED")=1,1,0)))))</f>
        <v>0</v>
      </c>
    </row>
    <row r="1806" customFormat="false" ht="15" hidden="false" customHeight="false" outlineLevel="0" collapsed="false">
      <c r="AH1806" s="21" t="n">
        <f aca="false">IF($AG$4=0,0,IF($AG$6=0,0,IF(INDEX($A1806:$AD1806,$AG$4)="",0,IF(INDEX($A1806:$AD1806,$AG$6)&lt;&gt;"NON-COMPLIED",0,IF(COUNTIFS(INDEX($A$3:$AD$1806,0,$AG$4),INDEX($A1806:$AD1806,$AG$4),INDEX($A$3:$AD$1806,0,$AG$6),"NON-COMPLIED")=1,1,0)))))</f>
        <v>0</v>
      </c>
    </row>
    <row r="1807" customFormat="false" ht="15" hidden="false" customHeight="false" outlineLevel="0" collapsed="false">
      <c r="AH1807" s="21" t="n">
        <f aca="false">IF($AG$4=0,0,IF($AG$6=0,0,IF(INDEX($A1807:$AD1807,$AG$4)="",0,IF(INDEX($A1807:$AD1807,$AG$6)&lt;&gt;"NON-COMPLIED",0,IF(COUNTIFS(INDEX($A$3:$AD$1807,0,$AG$4),INDEX($A1807:$AD1807,$AG$4),INDEX($A$3:$AD$1807,0,$AG$6),"NON-COMPLIED")=1,1,0)))))</f>
        <v>0</v>
      </c>
    </row>
    <row r="1808" customFormat="false" ht="15" hidden="false" customHeight="false" outlineLevel="0" collapsed="false">
      <c r="AH1808" s="21" t="n">
        <f aca="false">IF($AG$4=0,0,IF($AG$6=0,0,IF(INDEX($A1808:$AD1808,$AG$4)="",0,IF(INDEX($A1808:$AD1808,$AG$6)&lt;&gt;"NON-COMPLIED",0,IF(COUNTIFS(INDEX($A$3:$AD$1808,0,$AG$4),INDEX($A1808:$AD1808,$AG$4),INDEX($A$3:$AD$1808,0,$AG$6),"NON-COMPLIED")=1,1,0)))))</f>
        <v>0</v>
      </c>
    </row>
    <row r="1809" customFormat="false" ht="15" hidden="false" customHeight="false" outlineLevel="0" collapsed="false">
      <c r="AH1809" s="21" t="n">
        <f aca="false">IF($AG$4=0,0,IF($AG$6=0,0,IF(INDEX($A1809:$AD1809,$AG$4)="",0,IF(INDEX($A1809:$AD1809,$AG$6)&lt;&gt;"NON-COMPLIED",0,IF(COUNTIFS(INDEX($A$3:$AD$1809,0,$AG$4),INDEX($A1809:$AD1809,$AG$4),INDEX($A$3:$AD$1809,0,$AG$6),"NON-COMPLIED")=1,1,0)))))</f>
        <v>0</v>
      </c>
    </row>
    <row r="1810" customFormat="false" ht="15" hidden="false" customHeight="false" outlineLevel="0" collapsed="false">
      <c r="AH1810" s="21" t="n">
        <f aca="false">IF($AG$4=0,0,IF($AG$6=0,0,IF(INDEX($A1810:$AD1810,$AG$4)="",0,IF(INDEX($A1810:$AD1810,$AG$6)&lt;&gt;"NON-COMPLIED",0,IF(COUNTIFS(INDEX($A$3:$AD$1810,0,$AG$4),INDEX($A1810:$AD1810,$AG$4),INDEX($A$3:$AD$1810,0,$AG$6),"NON-COMPLIED")=1,1,0)))))</f>
        <v>0</v>
      </c>
    </row>
    <row r="1811" customFormat="false" ht="15" hidden="false" customHeight="false" outlineLevel="0" collapsed="false">
      <c r="AH1811" s="21" t="n">
        <f aca="false">IF($AG$4=0,0,IF($AG$6=0,0,IF(INDEX($A1811:$AD1811,$AG$4)="",0,IF(INDEX($A1811:$AD1811,$AG$6)&lt;&gt;"NON-COMPLIED",0,IF(COUNTIFS(INDEX($A$3:$AD$1811,0,$AG$4),INDEX($A1811:$AD1811,$AG$4),INDEX($A$3:$AD$1811,0,$AG$6),"NON-COMPLIED")=1,1,0)))))</f>
        <v>0</v>
      </c>
    </row>
    <row r="1812" customFormat="false" ht="15" hidden="false" customHeight="false" outlineLevel="0" collapsed="false">
      <c r="AH1812" s="21" t="n">
        <f aca="false">IF($AG$4=0,0,IF($AG$6=0,0,IF(INDEX($A1812:$AD1812,$AG$4)="",0,IF(INDEX($A1812:$AD1812,$AG$6)&lt;&gt;"NON-COMPLIED",0,IF(COUNTIFS(INDEX($A$3:$AD$1812,0,$AG$4),INDEX($A1812:$AD1812,$AG$4),INDEX($A$3:$AD$1812,0,$AG$6),"NON-COMPLIED")=1,1,0)))))</f>
        <v>0</v>
      </c>
    </row>
    <row r="1813" customFormat="false" ht="15" hidden="false" customHeight="false" outlineLevel="0" collapsed="false">
      <c r="AH1813" s="21" t="n">
        <f aca="false">IF($AG$4=0,0,IF($AG$6=0,0,IF(INDEX($A1813:$AD1813,$AG$4)="",0,IF(INDEX($A1813:$AD1813,$AG$6)&lt;&gt;"NON-COMPLIED",0,IF(COUNTIFS(INDEX($A$3:$AD$1813,0,$AG$4),INDEX($A1813:$AD1813,$AG$4),INDEX($A$3:$AD$1813,0,$AG$6),"NON-COMPLIED")=1,1,0)))))</f>
        <v>0</v>
      </c>
    </row>
    <row r="1814" customFormat="false" ht="15" hidden="false" customHeight="false" outlineLevel="0" collapsed="false">
      <c r="AH1814" s="21" t="n">
        <f aca="false">IF($AG$4=0,0,IF($AG$6=0,0,IF(INDEX($A1814:$AD1814,$AG$4)="",0,IF(INDEX($A1814:$AD1814,$AG$6)&lt;&gt;"NON-COMPLIED",0,IF(COUNTIFS(INDEX($A$3:$AD$1814,0,$AG$4),INDEX($A1814:$AD1814,$AG$4),INDEX($A$3:$AD$1814,0,$AG$6),"NON-COMPLIED")=1,1,0)))))</f>
        <v>0</v>
      </c>
    </row>
    <row r="1815" customFormat="false" ht="15" hidden="false" customHeight="false" outlineLevel="0" collapsed="false">
      <c r="AH1815" s="21" t="n">
        <f aca="false">IF($AG$4=0,0,IF($AG$6=0,0,IF(INDEX($A1815:$AD1815,$AG$4)="",0,IF(INDEX($A1815:$AD1815,$AG$6)&lt;&gt;"NON-COMPLIED",0,IF(COUNTIFS(INDEX($A$3:$AD$1815,0,$AG$4),INDEX($A1815:$AD1815,$AG$4),INDEX($A$3:$AD$1815,0,$AG$6),"NON-COMPLIED")=1,1,0)))))</f>
        <v>0</v>
      </c>
    </row>
    <row r="1816" customFormat="false" ht="15" hidden="false" customHeight="false" outlineLevel="0" collapsed="false">
      <c r="AH1816" s="21" t="n">
        <f aca="false">IF($AG$4=0,0,IF($AG$6=0,0,IF(INDEX($A1816:$AD1816,$AG$4)="",0,IF(INDEX($A1816:$AD1816,$AG$6)&lt;&gt;"NON-COMPLIED",0,IF(COUNTIFS(INDEX($A$3:$AD$1816,0,$AG$4),INDEX($A1816:$AD1816,$AG$4),INDEX($A$3:$AD$1816,0,$AG$6),"NON-COMPLIED")=1,1,0)))))</f>
        <v>0</v>
      </c>
    </row>
    <row r="1817" customFormat="false" ht="15" hidden="false" customHeight="false" outlineLevel="0" collapsed="false">
      <c r="AH1817" s="21" t="n">
        <f aca="false">IF($AG$4=0,0,IF($AG$6=0,0,IF(INDEX($A1817:$AD1817,$AG$4)="",0,IF(INDEX($A1817:$AD1817,$AG$6)&lt;&gt;"NON-COMPLIED",0,IF(COUNTIFS(INDEX($A$3:$AD$1817,0,$AG$4),INDEX($A1817:$AD1817,$AG$4),INDEX($A$3:$AD$1817,0,$AG$6),"NON-COMPLIED")=1,1,0)))))</f>
        <v>0</v>
      </c>
    </row>
    <row r="1818" customFormat="false" ht="15" hidden="false" customHeight="false" outlineLevel="0" collapsed="false">
      <c r="AH1818" s="21" t="n">
        <f aca="false">IF($AG$4=0,0,IF($AG$6=0,0,IF(INDEX($A1818:$AD1818,$AG$4)="",0,IF(INDEX($A1818:$AD1818,$AG$6)&lt;&gt;"NON-COMPLIED",0,IF(COUNTIFS(INDEX($A$3:$AD$1818,0,$AG$4),INDEX($A1818:$AD1818,$AG$4),INDEX($A$3:$AD$1818,0,$AG$6),"NON-COMPLIED")=1,1,0)))))</f>
        <v>0</v>
      </c>
    </row>
    <row r="1819" customFormat="false" ht="15" hidden="false" customHeight="false" outlineLevel="0" collapsed="false">
      <c r="AH1819" s="21" t="n">
        <f aca="false">IF($AG$4=0,0,IF($AG$6=0,0,IF(INDEX($A1819:$AD1819,$AG$4)="",0,IF(INDEX($A1819:$AD1819,$AG$6)&lt;&gt;"NON-COMPLIED",0,IF(COUNTIFS(INDEX($A$3:$AD$1819,0,$AG$4),INDEX($A1819:$AD1819,$AG$4),INDEX($A$3:$AD$1819,0,$AG$6),"NON-COMPLIED")=1,1,0)))))</f>
        <v>0</v>
      </c>
    </row>
    <row r="1820" customFormat="false" ht="15" hidden="false" customHeight="false" outlineLevel="0" collapsed="false">
      <c r="AH1820" s="21" t="n">
        <f aca="false">IF($AG$4=0,0,IF($AG$6=0,0,IF(INDEX($A1820:$AD1820,$AG$4)="",0,IF(INDEX($A1820:$AD1820,$AG$6)&lt;&gt;"NON-COMPLIED",0,IF(COUNTIFS(INDEX($A$3:$AD$1820,0,$AG$4),INDEX($A1820:$AD1820,$AG$4),INDEX($A$3:$AD$1820,0,$AG$6),"NON-COMPLIED")=1,1,0)))))</f>
        <v>0</v>
      </c>
    </row>
    <row r="1821" customFormat="false" ht="15" hidden="false" customHeight="false" outlineLevel="0" collapsed="false">
      <c r="AH1821" s="21" t="n">
        <f aca="false">IF($AG$4=0,0,IF($AG$6=0,0,IF(INDEX($A1821:$AD1821,$AG$4)="",0,IF(INDEX($A1821:$AD1821,$AG$6)&lt;&gt;"NON-COMPLIED",0,IF(COUNTIFS(INDEX($A$3:$AD$1821,0,$AG$4),INDEX($A1821:$AD1821,$AG$4),INDEX($A$3:$AD$1821,0,$AG$6),"NON-COMPLIED")=1,1,0)))))</f>
        <v>0</v>
      </c>
    </row>
    <row r="1822" customFormat="false" ht="15" hidden="false" customHeight="false" outlineLevel="0" collapsed="false">
      <c r="AH1822" s="21" t="n">
        <f aca="false">IF($AG$4=0,0,IF($AG$6=0,0,IF(INDEX($A1822:$AD1822,$AG$4)="",0,IF(INDEX($A1822:$AD1822,$AG$6)&lt;&gt;"NON-COMPLIED",0,IF(COUNTIFS(INDEX($A$3:$AD$1822,0,$AG$4),INDEX($A1822:$AD1822,$AG$4),INDEX($A$3:$AD$1822,0,$AG$6),"NON-COMPLIED")=1,1,0)))))</f>
        <v>0</v>
      </c>
    </row>
    <row r="1823" customFormat="false" ht="15" hidden="false" customHeight="false" outlineLevel="0" collapsed="false">
      <c r="AH1823" s="21" t="n">
        <f aca="false">IF($AG$4=0,0,IF($AG$6=0,0,IF(INDEX($A1823:$AD1823,$AG$4)="",0,IF(INDEX($A1823:$AD1823,$AG$6)&lt;&gt;"NON-COMPLIED",0,IF(COUNTIFS(INDEX($A$3:$AD$1823,0,$AG$4),INDEX($A1823:$AD1823,$AG$4),INDEX($A$3:$AD$1823,0,$AG$6),"NON-COMPLIED")=1,1,0)))))</f>
        <v>0</v>
      </c>
    </row>
    <row r="1824" customFormat="false" ht="15" hidden="false" customHeight="false" outlineLevel="0" collapsed="false">
      <c r="AH1824" s="21" t="n">
        <f aca="false">IF($AG$4=0,0,IF($AG$6=0,0,IF(INDEX($A1824:$AD1824,$AG$4)="",0,IF(INDEX($A1824:$AD1824,$AG$6)&lt;&gt;"NON-COMPLIED",0,IF(COUNTIFS(INDEX($A$3:$AD$1824,0,$AG$4),INDEX($A1824:$AD1824,$AG$4),INDEX($A$3:$AD$1824,0,$AG$6),"NON-COMPLIED")=1,1,0)))))</f>
        <v>0</v>
      </c>
    </row>
    <row r="1825" customFormat="false" ht="15" hidden="false" customHeight="false" outlineLevel="0" collapsed="false">
      <c r="AH1825" s="21" t="n">
        <f aca="false">IF($AG$4=0,0,IF($AG$6=0,0,IF(INDEX($A1825:$AD1825,$AG$4)="",0,IF(INDEX($A1825:$AD1825,$AG$6)&lt;&gt;"NON-COMPLIED",0,IF(COUNTIFS(INDEX($A$3:$AD$1825,0,$AG$4),INDEX($A1825:$AD1825,$AG$4),INDEX($A$3:$AD$1825,0,$AG$6),"NON-COMPLIED")=1,1,0)))))</f>
        <v>0</v>
      </c>
    </row>
    <row r="1826" customFormat="false" ht="15" hidden="false" customHeight="false" outlineLevel="0" collapsed="false">
      <c r="AH1826" s="21" t="n">
        <f aca="false">IF($AG$4=0,0,IF($AG$6=0,0,IF(INDEX($A1826:$AD1826,$AG$4)="",0,IF(INDEX($A1826:$AD1826,$AG$6)&lt;&gt;"NON-COMPLIED",0,IF(COUNTIFS(INDEX($A$3:$AD$1826,0,$AG$4),INDEX($A1826:$AD1826,$AG$4),INDEX($A$3:$AD$1826,0,$AG$6),"NON-COMPLIED")=1,1,0)))))</f>
        <v>0</v>
      </c>
    </row>
    <row r="1827" customFormat="false" ht="15" hidden="false" customHeight="false" outlineLevel="0" collapsed="false">
      <c r="AH1827" s="21" t="n">
        <f aca="false">IF($AG$4=0,0,IF($AG$6=0,0,IF(INDEX($A1827:$AD1827,$AG$4)="",0,IF(INDEX($A1827:$AD1827,$AG$6)&lt;&gt;"NON-COMPLIED",0,IF(COUNTIFS(INDEX($A$3:$AD$1827,0,$AG$4),INDEX($A1827:$AD1827,$AG$4),INDEX($A$3:$AD$1827,0,$AG$6),"NON-COMPLIED")=1,1,0)))))</f>
        <v>0</v>
      </c>
    </row>
    <row r="1828" customFormat="false" ht="15" hidden="false" customHeight="false" outlineLevel="0" collapsed="false">
      <c r="AH1828" s="21" t="n">
        <f aca="false">IF($AG$4=0,0,IF($AG$6=0,0,IF(INDEX($A1828:$AD1828,$AG$4)="",0,IF(INDEX($A1828:$AD1828,$AG$6)&lt;&gt;"NON-COMPLIED",0,IF(COUNTIFS(INDEX($A$3:$AD$1828,0,$AG$4),INDEX($A1828:$AD1828,$AG$4),INDEX($A$3:$AD$1828,0,$AG$6),"NON-COMPLIED")=1,1,0)))))</f>
        <v>0</v>
      </c>
    </row>
    <row r="1829" customFormat="false" ht="15" hidden="false" customHeight="false" outlineLevel="0" collapsed="false">
      <c r="AH1829" s="21" t="n">
        <f aca="false">IF($AG$4=0,0,IF($AG$6=0,0,IF(INDEX($A1829:$AD1829,$AG$4)="",0,IF(INDEX($A1829:$AD1829,$AG$6)&lt;&gt;"NON-COMPLIED",0,IF(COUNTIFS(INDEX($A$3:$AD$1829,0,$AG$4),INDEX($A1829:$AD1829,$AG$4),INDEX($A$3:$AD$1829,0,$AG$6),"NON-COMPLIED")=1,1,0)))))</f>
        <v>0</v>
      </c>
    </row>
    <row r="1830" customFormat="false" ht="15" hidden="false" customHeight="false" outlineLevel="0" collapsed="false">
      <c r="AH1830" s="21" t="n">
        <f aca="false">IF($AG$4=0,0,IF($AG$6=0,0,IF(INDEX($A1830:$AD1830,$AG$4)="",0,IF(INDEX($A1830:$AD1830,$AG$6)&lt;&gt;"NON-COMPLIED",0,IF(COUNTIFS(INDEX($A$3:$AD$1830,0,$AG$4),INDEX($A1830:$AD1830,$AG$4),INDEX($A$3:$AD$1830,0,$AG$6),"NON-COMPLIED")=1,1,0)))))</f>
        <v>0</v>
      </c>
    </row>
    <row r="1831" customFormat="false" ht="15" hidden="false" customHeight="false" outlineLevel="0" collapsed="false">
      <c r="AH1831" s="21" t="n">
        <f aca="false">IF($AG$4=0,0,IF($AG$6=0,0,IF(INDEX($A1831:$AD1831,$AG$4)="",0,IF(INDEX($A1831:$AD1831,$AG$6)&lt;&gt;"NON-COMPLIED",0,IF(COUNTIFS(INDEX($A$3:$AD$1831,0,$AG$4),INDEX($A1831:$AD1831,$AG$4),INDEX($A$3:$AD$1831,0,$AG$6),"NON-COMPLIED")=1,1,0)))))</f>
        <v>0</v>
      </c>
    </row>
    <row r="1832" customFormat="false" ht="15" hidden="false" customHeight="false" outlineLevel="0" collapsed="false">
      <c r="AH1832" s="21" t="n">
        <f aca="false">IF($AG$4=0,0,IF($AG$6=0,0,IF(INDEX($A1832:$AD1832,$AG$4)="",0,IF(INDEX($A1832:$AD1832,$AG$6)&lt;&gt;"NON-COMPLIED",0,IF(COUNTIFS(INDEX($A$3:$AD$1832,0,$AG$4),INDEX($A1832:$AD1832,$AG$4),INDEX($A$3:$AD$1832,0,$AG$6),"NON-COMPLIED")=1,1,0)))))</f>
        <v>0</v>
      </c>
    </row>
    <row r="1833" customFormat="false" ht="15" hidden="false" customHeight="false" outlineLevel="0" collapsed="false">
      <c r="AH1833" s="21" t="n">
        <f aca="false">IF($AG$4=0,0,IF($AG$6=0,0,IF(INDEX($A1833:$AD1833,$AG$4)="",0,IF(INDEX($A1833:$AD1833,$AG$6)&lt;&gt;"NON-COMPLIED",0,IF(COUNTIFS(INDEX($A$3:$AD$1833,0,$AG$4),INDEX($A1833:$AD1833,$AG$4),INDEX($A$3:$AD$1833,0,$AG$6),"NON-COMPLIED")=1,1,0)))))</f>
        <v>0</v>
      </c>
    </row>
    <row r="1834" customFormat="false" ht="15" hidden="false" customHeight="false" outlineLevel="0" collapsed="false">
      <c r="AH1834" s="21" t="n">
        <f aca="false">IF($AG$4=0,0,IF($AG$6=0,0,IF(INDEX($A1834:$AD1834,$AG$4)="",0,IF(INDEX($A1834:$AD1834,$AG$6)&lt;&gt;"NON-COMPLIED",0,IF(COUNTIFS(INDEX($A$3:$AD$1834,0,$AG$4),INDEX($A1834:$AD1834,$AG$4),INDEX($A$3:$AD$1834,0,$AG$6),"NON-COMPLIED")=1,1,0)))))</f>
        <v>0</v>
      </c>
    </row>
    <row r="1835" customFormat="false" ht="15" hidden="false" customHeight="false" outlineLevel="0" collapsed="false">
      <c r="AH1835" s="21" t="n">
        <f aca="false">IF($AG$4=0,0,IF($AG$6=0,0,IF(INDEX($A1835:$AD1835,$AG$4)="",0,IF(INDEX($A1835:$AD1835,$AG$6)&lt;&gt;"NON-COMPLIED",0,IF(COUNTIFS(INDEX($A$3:$AD$1835,0,$AG$4),INDEX($A1835:$AD1835,$AG$4),INDEX($A$3:$AD$1835,0,$AG$6),"NON-COMPLIED")=1,1,0)))))</f>
        <v>0</v>
      </c>
    </row>
    <row r="1836" customFormat="false" ht="15" hidden="false" customHeight="false" outlineLevel="0" collapsed="false">
      <c r="AH1836" s="21" t="n">
        <f aca="false">IF($AG$4=0,0,IF($AG$6=0,0,IF(INDEX($A1836:$AD1836,$AG$4)="",0,IF(INDEX($A1836:$AD1836,$AG$6)&lt;&gt;"NON-COMPLIED",0,IF(COUNTIFS(INDEX($A$3:$AD$1836,0,$AG$4),INDEX($A1836:$AD1836,$AG$4),INDEX($A$3:$AD$1836,0,$AG$6),"NON-COMPLIED")=1,1,0)))))</f>
        <v>0</v>
      </c>
    </row>
    <row r="1837" customFormat="false" ht="15" hidden="false" customHeight="false" outlineLevel="0" collapsed="false">
      <c r="AH1837" s="21" t="n">
        <f aca="false">IF($AG$4=0,0,IF($AG$6=0,0,IF(INDEX($A1837:$AD1837,$AG$4)="",0,IF(INDEX($A1837:$AD1837,$AG$6)&lt;&gt;"NON-COMPLIED",0,IF(COUNTIFS(INDEX($A$3:$AD$1837,0,$AG$4),INDEX($A1837:$AD1837,$AG$4),INDEX($A$3:$AD$1837,0,$AG$6),"NON-COMPLIED")=1,1,0)))))</f>
        <v>0</v>
      </c>
    </row>
    <row r="1838" customFormat="false" ht="15" hidden="false" customHeight="false" outlineLevel="0" collapsed="false">
      <c r="AH1838" s="21" t="n">
        <f aca="false">IF($AG$4=0,0,IF($AG$6=0,0,IF(INDEX($A1838:$AD1838,$AG$4)="",0,IF(INDEX($A1838:$AD1838,$AG$6)&lt;&gt;"NON-COMPLIED",0,IF(COUNTIFS(INDEX($A$3:$AD$1838,0,$AG$4),INDEX($A1838:$AD1838,$AG$4),INDEX($A$3:$AD$1838,0,$AG$6),"NON-COMPLIED")=1,1,0)))))</f>
        <v>0</v>
      </c>
    </row>
    <row r="1839" customFormat="false" ht="15" hidden="false" customHeight="false" outlineLevel="0" collapsed="false">
      <c r="AH1839" s="21" t="n">
        <f aca="false">IF($AG$4=0,0,IF($AG$6=0,0,IF(INDEX($A1839:$AD1839,$AG$4)="",0,IF(INDEX($A1839:$AD1839,$AG$6)&lt;&gt;"NON-COMPLIED",0,IF(COUNTIFS(INDEX($A$3:$AD$1839,0,$AG$4),INDEX($A1839:$AD1839,$AG$4),INDEX($A$3:$AD$1839,0,$AG$6),"NON-COMPLIED")=1,1,0)))))</f>
        <v>0</v>
      </c>
    </row>
    <row r="1840" customFormat="false" ht="15" hidden="false" customHeight="false" outlineLevel="0" collapsed="false">
      <c r="AH1840" s="21" t="n">
        <f aca="false">IF($AG$4=0,0,IF($AG$6=0,0,IF(INDEX($A1840:$AD1840,$AG$4)="",0,IF(INDEX($A1840:$AD1840,$AG$6)&lt;&gt;"NON-COMPLIED",0,IF(COUNTIFS(INDEX($A$3:$AD$1840,0,$AG$4),INDEX($A1840:$AD1840,$AG$4),INDEX($A$3:$AD$1840,0,$AG$6),"NON-COMPLIED")=1,1,0)))))</f>
        <v>0</v>
      </c>
    </row>
    <row r="1841" customFormat="false" ht="15" hidden="false" customHeight="false" outlineLevel="0" collapsed="false">
      <c r="AH1841" s="21" t="n">
        <f aca="false">IF($AG$4=0,0,IF($AG$6=0,0,IF(INDEX($A1841:$AD1841,$AG$4)="",0,IF(INDEX($A1841:$AD1841,$AG$6)&lt;&gt;"NON-COMPLIED",0,IF(COUNTIFS(INDEX($A$3:$AD$1841,0,$AG$4),INDEX($A1841:$AD1841,$AG$4),INDEX($A$3:$AD$1841,0,$AG$6),"NON-COMPLIED")=1,1,0)))))</f>
        <v>0</v>
      </c>
    </row>
    <row r="1842" customFormat="false" ht="15" hidden="false" customHeight="false" outlineLevel="0" collapsed="false">
      <c r="AH1842" s="21" t="n">
        <f aca="false">IF($AG$4=0,0,IF($AG$6=0,0,IF(INDEX($A1842:$AD1842,$AG$4)="",0,IF(INDEX($A1842:$AD1842,$AG$6)&lt;&gt;"NON-COMPLIED",0,IF(COUNTIFS(INDEX($A$3:$AD$1842,0,$AG$4),INDEX($A1842:$AD1842,$AG$4),INDEX($A$3:$AD$1842,0,$AG$6),"NON-COMPLIED")=1,1,0)))))</f>
        <v>0</v>
      </c>
    </row>
    <row r="1843" customFormat="false" ht="15" hidden="false" customHeight="false" outlineLevel="0" collapsed="false">
      <c r="AH1843" s="21" t="n">
        <f aca="false">IF($AG$4=0,0,IF($AG$6=0,0,IF(INDEX($A1843:$AD1843,$AG$4)="",0,IF(INDEX($A1843:$AD1843,$AG$6)&lt;&gt;"NON-COMPLIED",0,IF(COUNTIFS(INDEX($A$3:$AD$1843,0,$AG$4),INDEX($A1843:$AD1843,$AG$4),INDEX($A$3:$AD$1843,0,$AG$6),"NON-COMPLIED")=1,1,0)))))</f>
        <v>0</v>
      </c>
    </row>
    <row r="1844" customFormat="false" ht="15" hidden="false" customHeight="false" outlineLevel="0" collapsed="false">
      <c r="AH1844" s="21" t="n">
        <f aca="false">IF($AG$4=0,0,IF($AG$6=0,0,IF(INDEX($A1844:$AD1844,$AG$4)="",0,IF(INDEX($A1844:$AD1844,$AG$6)&lt;&gt;"NON-COMPLIED",0,IF(COUNTIFS(INDEX($A$3:$AD$1844,0,$AG$4),INDEX($A1844:$AD1844,$AG$4),INDEX($A$3:$AD$1844,0,$AG$6),"NON-COMPLIED")=1,1,0)))))</f>
        <v>0</v>
      </c>
    </row>
    <row r="1845" customFormat="false" ht="15" hidden="false" customHeight="false" outlineLevel="0" collapsed="false">
      <c r="AH1845" s="21" t="n">
        <f aca="false">IF($AG$4=0,0,IF($AG$6=0,0,IF(INDEX($A1845:$AD1845,$AG$4)="",0,IF(INDEX($A1845:$AD1845,$AG$6)&lt;&gt;"NON-COMPLIED",0,IF(COUNTIFS(INDEX($A$3:$AD$1845,0,$AG$4),INDEX($A1845:$AD1845,$AG$4),INDEX($A$3:$AD$1845,0,$AG$6),"NON-COMPLIED")=1,1,0)))))</f>
        <v>0</v>
      </c>
    </row>
    <row r="1846" customFormat="false" ht="15" hidden="false" customHeight="false" outlineLevel="0" collapsed="false">
      <c r="AH1846" s="21" t="n">
        <f aca="false">IF($AG$4=0,0,IF($AG$6=0,0,IF(INDEX($A1846:$AD1846,$AG$4)="",0,IF(INDEX($A1846:$AD1846,$AG$6)&lt;&gt;"NON-COMPLIED",0,IF(COUNTIFS(INDEX($A$3:$AD$1846,0,$AG$4),INDEX($A1846:$AD1846,$AG$4),INDEX($A$3:$AD$1846,0,$AG$6),"NON-COMPLIED")=1,1,0)))))</f>
        <v>0</v>
      </c>
    </row>
    <row r="1847" customFormat="false" ht="15" hidden="false" customHeight="false" outlineLevel="0" collapsed="false">
      <c r="AH1847" s="21" t="n">
        <f aca="false">IF($AG$4=0,0,IF($AG$6=0,0,IF(INDEX($A1847:$AD1847,$AG$4)="",0,IF(INDEX($A1847:$AD1847,$AG$6)&lt;&gt;"NON-COMPLIED",0,IF(COUNTIFS(INDEX($A$3:$AD$1847,0,$AG$4),INDEX($A1847:$AD1847,$AG$4),INDEX($A$3:$AD$1847,0,$AG$6),"NON-COMPLIED")=1,1,0)))))</f>
        <v>0</v>
      </c>
    </row>
    <row r="1848" customFormat="false" ht="15" hidden="false" customHeight="false" outlineLevel="0" collapsed="false">
      <c r="AH1848" s="21" t="n">
        <f aca="false">IF($AG$4=0,0,IF($AG$6=0,0,IF(INDEX($A1848:$AD1848,$AG$4)="",0,IF(INDEX($A1848:$AD1848,$AG$6)&lt;&gt;"NON-COMPLIED",0,IF(COUNTIFS(INDEX($A$3:$AD$1848,0,$AG$4),INDEX($A1848:$AD1848,$AG$4),INDEX($A$3:$AD$1848,0,$AG$6),"NON-COMPLIED")=1,1,0)))))</f>
        <v>0</v>
      </c>
    </row>
    <row r="1849" customFormat="false" ht="15" hidden="false" customHeight="false" outlineLevel="0" collapsed="false">
      <c r="AH1849" s="21" t="n">
        <f aca="false">IF($AG$4=0,0,IF($AG$6=0,0,IF(INDEX($A1849:$AD1849,$AG$4)="",0,IF(INDEX($A1849:$AD1849,$AG$6)&lt;&gt;"NON-COMPLIED",0,IF(COUNTIFS(INDEX($A$3:$AD$1849,0,$AG$4),INDEX($A1849:$AD1849,$AG$4),INDEX($A$3:$AD$1849,0,$AG$6),"NON-COMPLIED")=1,1,0)))))</f>
        <v>0</v>
      </c>
    </row>
    <row r="1850" customFormat="false" ht="15" hidden="false" customHeight="false" outlineLevel="0" collapsed="false">
      <c r="AH1850" s="21" t="n">
        <f aca="false">IF($AG$4=0,0,IF($AG$6=0,0,IF(INDEX($A1850:$AD1850,$AG$4)="",0,IF(INDEX($A1850:$AD1850,$AG$6)&lt;&gt;"NON-COMPLIED",0,IF(COUNTIFS(INDEX($A$3:$AD$1850,0,$AG$4),INDEX($A1850:$AD1850,$AG$4),INDEX($A$3:$AD$1850,0,$AG$6),"NON-COMPLIED")=1,1,0)))))</f>
        <v>0</v>
      </c>
    </row>
    <row r="1851" customFormat="false" ht="15" hidden="false" customHeight="false" outlineLevel="0" collapsed="false">
      <c r="AH1851" s="21" t="n">
        <f aca="false">IF($AG$4=0,0,IF($AG$6=0,0,IF(INDEX($A1851:$AD1851,$AG$4)="",0,IF(INDEX($A1851:$AD1851,$AG$6)&lt;&gt;"NON-COMPLIED",0,IF(COUNTIFS(INDEX($A$3:$AD$1851,0,$AG$4),INDEX($A1851:$AD1851,$AG$4),INDEX($A$3:$AD$1851,0,$AG$6),"NON-COMPLIED")=1,1,0)))))</f>
        <v>0</v>
      </c>
    </row>
    <row r="1852" customFormat="false" ht="15" hidden="false" customHeight="false" outlineLevel="0" collapsed="false">
      <c r="AH1852" s="21" t="n">
        <f aca="false">IF($AG$4=0,0,IF($AG$6=0,0,IF(INDEX($A1852:$AD1852,$AG$4)="",0,IF(INDEX($A1852:$AD1852,$AG$6)&lt;&gt;"NON-COMPLIED",0,IF(COUNTIFS(INDEX($A$3:$AD$1852,0,$AG$4),INDEX($A1852:$AD1852,$AG$4),INDEX($A$3:$AD$1852,0,$AG$6),"NON-COMPLIED")=1,1,0)))))</f>
        <v>0</v>
      </c>
    </row>
    <row r="1853" customFormat="false" ht="15" hidden="false" customHeight="false" outlineLevel="0" collapsed="false">
      <c r="AH1853" s="21" t="n">
        <f aca="false">IF($AG$4=0,0,IF($AG$6=0,0,IF(INDEX($A1853:$AD1853,$AG$4)="",0,IF(INDEX($A1853:$AD1853,$AG$6)&lt;&gt;"NON-COMPLIED",0,IF(COUNTIFS(INDEX($A$3:$AD$1853,0,$AG$4),INDEX($A1853:$AD1853,$AG$4),INDEX($A$3:$AD$1853,0,$AG$6),"NON-COMPLIED")=1,1,0)))))</f>
        <v>0</v>
      </c>
    </row>
    <row r="1854" customFormat="false" ht="15" hidden="false" customHeight="false" outlineLevel="0" collapsed="false">
      <c r="AH1854" s="21" t="n">
        <f aca="false">IF($AG$4=0,0,IF($AG$6=0,0,IF(INDEX($A1854:$AD1854,$AG$4)="",0,IF(INDEX($A1854:$AD1854,$AG$6)&lt;&gt;"NON-COMPLIED",0,IF(COUNTIFS(INDEX($A$3:$AD$1854,0,$AG$4),INDEX($A1854:$AD1854,$AG$4),INDEX($A$3:$AD$1854,0,$AG$6),"NON-COMPLIED")=1,1,0)))))</f>
        <v>0</v>
      </c>
    </row>
    <row r="1855" customFormat="false" ht="15" hidden="false" customHeight="false" outlineLevel="0" collapsed="false">
      <c r="AH1855" s="21" t="n">
        <f aca="false">IF($AG$4=0,0,IF($AG$6=0,0,IF(INDEX($A1855:$AD1855,$AG$4)="",0,IF(INDEX($A1855:$AD1855,$AG$6)&lt;&gt;"NON-COMPLIED",0,IF(COUNTIFS(INDEX($A$3:$AD$1855,0,$AG$4),INDEX($A1855:$AD1855,$AG$4),INDEX($A$3:$AD$1855,0,$AG$6),"NON-COMPLIED")=1,1,0)))))</f>
        <v>0</v>
      </c>
    </row>
    <row r="1856" customFormat="false" ht="15" hidden="false" customHeight="false" outlineLevel="0" collapsed="false">
      <c r="AH1856" s="21" t="n">
        <f aca="false">IF($AG$4=0,0,IF($AG$6=0,0,IF(INDEX($A1856:$AD1856,$AG$4)="",0,IF(INDEX($A1856:$AD1856,$AG$6)&lt;&gt;"NON-COMPLIED",0,IF(COUNTIFS(INDEX($A$3:$AD$1856,0,$AG$4),INDEX($A1856:$AD1856,$AG$4),INDEX($A$3:$AD$1856,0,$AG$6),"NON-COMPLIED")=1,1,0)))))</f>
        <v>0</v>
      </c>
    </row>
    <row r="1857" customFormat="false" ht="15" hidden="false" customHeight="false" outlineLevel="0" collapsed="false">
      <c r="AH1857" s="21" t="n">
        <f aca="false">IF($AG$4=0,0,IF($AG$6=0,0,IF(INDEX($A1857:$AD1857,$AG$4)="",0,IF(INDEX($A1857:$AD1857,$AG$6)&lt;&gt;"NON-COMPLIED",0,IF(COUNTIFS(INDEX($A$3:$AD$1857,0,$AG$4),INDEX($A1857:$AD1857,$AG$4),INDEX($A$3:$AD$1857,0,$AG$6),"NON-COMPLIED")=1,1,0)))))</f>
        <v>0</v>
      </c>
    </row>
    <row r="1858" customFormat="false" ht="15" hidden="false" customHeight="false" outlineLevel="0" collapsed="false">
      <c r="AH1858" s="21" t="n">
        <f aca="false">IF($AG$4=0,0,IF($AG$6=0,0,IF(INDEX($A1858:$AD1858,$AG$4)="",0,IF(INDEX($A1858:$AD1858,$AG$6)&lt;&gt;"NON-COMPLIED",0,IF(COUNTIFS(INDEX($A$3:$AD$1858,0,$AG$4),INDEX($A1858:$AD1858,$AG$4),INDEX($A$3:$AD$1858,0,$AG$6),"NON-COMPLIED")=1,1,0)))))</f>
        <v>0</v>
      </c>
    </row>
    <row r="1859" customFormat="false" ht="15" hidden="false" customHeight="false" outlineLevel="0" collapsed="false">
      <c r="AH1859" s="21" t="n">
        <f aca="false">IF($AG$4=0,0,IF($AG$6=0,0,IF(INDEX($A1859:$AD1859,$AG$4)="",0,IF(INDEX($A1859:$AD1859,$AG$6)&lt;&gt;"NON-COMPLIED",0,IF(COUNTIFS(INDEX($A$3:$AD$1859,0,$AG$4),INDEX($A1859:$AD1859,$AG$4),INDEX($A$3:$AD$1859,0,$AG$6),"NON-COMPLIED")=1,1,0)))))</f>
        <v>0</v>
      </c>
    </row>
    <row r="1860" customFormat="false" ht="15" hidden="false" customHeight="false" outlineLevel="0" collapsed="false">
      <c r="AH1860" s="21" t="n">
        <f aca="false">IF($AG$4=0,0,IF($AG$6=0,0,IF(INDEX($A1860:$AD1860,$AG$4)="",0,IF(INDEX($A1860:$AD1860,$AG$6)&lt;&gt;"NON-COMPLIED",0,IF(COUNTIFS(INDEX($A$3:$AD$1860,0,$AG$4),INDEX($A1860:$AD1860,$AG$4),INDEX($A$3:$AD$1860,0,$AG$6),"NON-COMPLIED")=1,1,0)))))</f>
        <v>0</v>
      </c>
    </row>
    <row r="1861" customFormat="false" ht="15" hidden="false" customHeight="false" outlineLevel="0" collapsed="false">
      <c r="AH1861" s="21" t="n">
        <f aca="false">IF($AG$4=0,0,IF($AG$6=0,0,IF(INDEX($A1861:$AD1861,$AG$4)="",0,IF(INDEX($A1861:$AD1861,$AG$6)&lt;&gt;"NON-COMPLIED",0,IF(COUNTIFS(INDEX($A$3:$AD$1861,0,$AG$4),INDEX($A1861:$AD1861,$AG$4),INDEX($A$3:$AD$1861,0,$AG$6),"NON-COMPLIED")=1,1,0)))))</f>
        <v>0</v>
      </c>
    </row>
    <row r="1862" customFormat="false" ht="15" hidden="false" customHeight="false" outlineLevel="0" collapsed="false">
      <c r="AH1862" s="21" t="n">
        <f aca="false">IF($AG$4=0,0,IF($AG$6=0,0,IF(INDEX($A1862:$AD1862,$AG$4)="",0,IF(INDEX($A1862:$AD1862,$AG$6)&lt;&gt;"NON-COMPLIED",0,IF(COUNTIFS(INDEX($A$3:$AD$1862,0,$AG$4),INDEX($A1862:$AD1862,$AG$4),INDEX($A$3:$AD$1862,0,$AG$6),"NON-COMPLIED")=1,1,0)))))</f>
        <v>0</v>
      </c>
    </row>
    <row r="1863" customFormat="false" ht="15" hidden="false" customHeight="false" outlineLevel="0" collapsed="false">
      <c r="AH1863" s="21" t="n">
        <f aca="false">IF($AG$4=0,0,IF($AG$6=0,0,IF(INDEX($A1863:$AD1863,$AG$4)="",0,IF(INDEX($A1863:$AD1863,$AG$6)&lt;&gt;"NON-COMPLIED",0,IF(COUNTIFS(INDEX($A$3:$AD$1863,0,$AG$4),INDEX($A1863:$AD1863,$AG$4),INDEX($A$3:$AD$1863,0,$AG$6),"NON-COMPLIED")=1,1,0)))))</f>
        <v>0</v>
      </c>
    </row>
    <row r="1864" customFormat="false" ht="15" hidden="false" customHeight="false" outlineLevel="0" collapsed="false">
      <c r="AH1864" s="21" t="n">
        <f aca="false">IF($AG$4=0,0,IF($AG$6=0,0,IF(INDEX($A1864:$AD1864,$AG$4)="",0,IF(INDEX($A1864:$AD1864,$AG$6)&lt;&gt;"NON-COMPLIED",0,IF(COUNTIFS(INDEX($A$3:$AD$1864,0,$AG$4),INDEX($A1864:$AD1864,$AG$4),INDEX($A$3:$AD$1864,0,$AG$6),"NON-COMPLIED")=1,1,0)))))</f>
        <v>0</v>
      </c>
    </row>
    <row r="1865" customFormat="false" ht="15" hidden="false" customHeight="false" outlineLevel="0" collapsed="false">
      <c r="AH1865" s="21" t="n">
        <f aca="false">IF($AG$4=0,0,IF($AG$6=0,0,IF(INDEX($A1865:$AD1865,$AG$4)="",0,IF(INDEX($A1865:$AD1865,$AG$6)&lt;&gt;"NON-COMPLIED",0,IF(COUNTIFS(INDEX($A$3:$AD$1865,0,$AG$4),INDEX($A1865:$AD1865,$AG$4),INDEX($A$3:$AD$1865,0,$AG$6),"NON-COMPLIED")=1,1,0)))))</f>
        <v>0</v>
      </c>
    </row>
    <row r="1866" customFormat="false" ht="15" hidden="false" customHeight="false" outlineLevel="0" collapsed="false">
      <c r="AH1866" s="21" t="n">
        <f aca="false">IF($AG$4=0,0,IF($AG$6=0,0,IF(INDEX($A1866:$AD1866,$AG$4)="",0,IF(INDEX($A1866:$AD1866,$AG$6)&lt;&gt;"NON-COMPLIED",0,IF(COUNTIFS(INDEX($A$3:$AD$1866,0,$AG$4),INDEX($A1866:$AD1866,$AG$4),INDEX($A$3:$AD$1866,0,$AG$6),"NON-COMPLIED")=1,1,0)))))</f>
        <v>0</v>
      </c>
    </row>
    <row r="1867" customFormat="false" ht="15" hidden="false" customHeight="false" outlineLevel="0" collapsed="false">
      <c r="AH1867" s="21" t="n">
        <f aca="false">IF($AG$4=0,0,IF($AG$6=0,0,IF(INDEX($A1867:$AD1867,$AG$4)="",0,IF(INDEX($A1867:$AD1867,$AG$6)&lt;&gt;"NON-COMPLIED",0,IF(COUNTIFS(INDEX($A$3:$AD$1867,0,$AG$4),INDEX($A1867:$AD1867,$AG$4),INDEX($A$3:$AD$1867,0,$AG$6),"NON-COMPLIED")=1,1,0)))))</f>
        <v>0</v>
      </c>
    </row>
    <row r="1868" customFormat="false" ht="15" hidden="false" customHeight="false" outlineLevel="0" collapsed="false">
      <c r="AH1868" s="21" t="n">
        <f aca="false">IF($AG$4=0,0,IF($AG$6=0,0,IF(INDEX($A1868:$AD1868,$AG$4)="",0,IF(INDEX($A1868:$AD1868,$AG$6)&lt;&gt;"NON-COMPLIED",0,IF(COUNTIFS(INDEX($A$3:$AD$1868,0,$AG$4),INDEX($A1868:$AD1868,$AG$4),INDEX($A$3:$AD$1868,0,$AG$6),"NON-COMPLIED")=1,1,0)))))</f>
        <v>0</v>
      </c>
    </row>
    <row r="1869" customFormat="false" ht="15" hidden="false" customHeight="false" outlineLevel="0" collapsed="false">
      <c r="AH1869" s="21" t="n">
        <f aca="false">IF($AG$4=0,0,IF($AG$6=0,0,IF(INDEX($A1869:$AD1869,$AG$4)="",0,IF(INDEX($A1869:$AD1869,$AG$6)&lt;&gt;"NON-COMPLIED",0,IF(COUNTIFS(INDEX($A$3:$AD$1869,0,$AG$4),INDEX($A1869:$AD1869,$AG$4),INDEX($A$3:$AD$1869,0,$AG$6),"NON-COMPLIED")=1,1,0)))))</f>
        <v>0</v>
      </c>
    </row>
    <row r="1870" customFormat="false" ht="15" hidden="false" customHeight="false" outlineLevel="0" collapsed="false">
      <c r="AH1870" s="21" t="n">
        <f aca="false">IF($AG$4=0,0,IF($AG$6=0,0,IF(INDEX($A1870:$AD1870,$AG$4)="",0,IF(INDEX($A1870:$AD1870,$AG$6)&lt;&gt;"NON-COMPLIED",0,IF(COUNTIFS(INDEX($A$3:$AD$1870,0,$AG$4),INDEX($A1870:$AD1870,$AG$4),INDEX($A$3:$AD$1870,0,$AG$6),"NON-COMPLIED")=1,1,0)))))</f>
        <v>0</v>
      </c>
    </row>
    <row r="1871" customFormat="false" ht="15" hidden="false" customHeight="false" outlineLevel="0" collapsed="false">
      <c r="AH1871" s="21" t="n">
        <f aca="false">IF($AG$4=0,0,IF($AG$6=0,0,IF(INDEX($A1871:$AD1871,$AG$4)="",0,IF(INDEX($A1871:$AD1871,$AG$6)&lt;&gt;"NON-COMPLIED",0,IF(COUNTIFS(INDEX($A$3:$AD$1871,0,$AG$4),INDEX($A1871:$AD1871,$AG$4),INDEX($A$3:$AD$1871,0,$AG$6),"NON-COMPLIED")=1,1,0)))))</f>
        <v>0</v>
      </c>
    </row>
    <row r="1872" customFormat="false" ht="15" hidden="false" customHeight="false" outlineLevel="0" collapsed="false">
      <c r="AH1872" s="21" t="n">
        <f aca="false">IF($AG$4=0,0,IF($AG$6=0,0,IF(INDEX($A1872:$AD1872,$AG$4)="",0,IF(INDEX($A1872:$AD1872,$AG$6)&lt;&gt;"NON-COMPLIED",0,IF(COUNTIFS(INDEX($A$3:$AD$1872,0,$AG$4),INDEX($A1872:$AD1872,$AG$4),INDEX($A$3:$AD$1872,0,$AG$6),"NON-COMPLIED")=1,1,0)))))</f>
        <v>0</v>
      </c>
    </row>
    <row r="1873" customFormat="false" ht="15" hidden="false" customHeight="false" outlineLevel="0" collapsed="false">
      <c r="AH1873" s="21" t="n">
        <f aca="false">IF($AG$4=0,0,IF($AG$6=0,0,IF(INDEX($A1873:$AD1873,$AG$4)="",0,IF(INDEX($A1873:$AD1873,$AG$6)&lt;&gt;"NON-COMPLIED",0,IF(COUNTIFS(INDEX($A$3:$AD$1873,0,$AG$4),INDEX($A1873:$AD1873,$AG$4),INDEX($A$3:$AD$1873,0,$AG$6),"NON-COMPLIED")=1,1,0)))))</f>
        <v>0</v>
      </c>
    </row>
    <row r="1874" customFormat="false" ht="15" hidden="false" customHeight="false" outlineLevel="0" collapsed="false">
      <c r="AH1874" s="21" t="n">
        <f aca="false">IF($AG$4=0,0,IF($AG$6=0,0,IF(INDEX($A1874:$AD1874,$AG$4)="",0,IF(INDEX($A1874:$AD1874,$AG$6)&lt;&gt;"NON-COMPLIED",0,IF(COUNTIFS(INDEX($A$3:$AD$1874,0,$AG$4),INDEX($A1874:$AD1874,$AG$4),INDEX($A$3:$AD$1874,0,$AG$6),"NON-COMPLIED")=1,1,0)))))</f>
        <v>0</v>
      </c>
    </row>
    <row r="1875" customFormat="false" ht="15" hidden="false" customHeight="false" outlineLevel="0" collapsed="false">
      <c r="AH1875" s="21" t="n">
        <f aca="false">IF($AG$4=0,0,IF($AG$6=0,0,IF(INDEX($A1875:$AD1875,$AG$4)="",0,IF(INDEX($A1875:$AD1875,$AG$6)&lt;&gt;"NON-COMPLIED",0,IF(COUNTIFS(INDEX($A$3:$AD$1875,0,$AG$4),INDEX($A1875:$AD1875,$AG$4),INDEX($A$3:$AD$1875,0,$AG$6),"NON-COMPLIED")=1,1,0)))))</f>
        <v>0</v>
      </c>
    </row>
    <row r="1876" customFormat="false" ht="15" hidden="false" customHeight="false" outlineLevel="0" collapsed="false">
      <c r="AH1876" s="21" t="n">
        <f aca="false">IF($AG$4=0,0,IF($AG$6=0,0,IF(INDEX($A1876:$AD1876,$AG$4)="",0,IF(INDEX($A1876:$AD1876,$AG$6)&lt;&gt;"NON-COMPLIED",0,IF(COUNTIFS(INDEX($A$3:$AD$1876,0,$AG$4),INDEX($A1876:$AD1876,$AG$4),INDEX($A$3:$AD$1876,0,$AG$6),"NON-COMPLIED")=1,1,0)))))</f>
        <v>0</v>
      </c>
    </row>
    <row r="1877" customFormat="false" ht="15" hidden="false" customHeight="false" outlineLevel="0" collapsed="false">
      <c r="AH1877" s="21" t="n">
        <f aca="false">IF($AG$4=0,0,IF($AG$6=0,0,IF(INDEX($A1877:$AD1877,$AG$4)="",0,IF(INDEX($A1877:$AD1877,$AG$6)&lt;&gt;"NON-COMPLIED",0,IF(COUNTIFS(INDEX($A$3:$AD$1877,0,$AG$4),INDEX($A1877:$AD1877,$AG$4),INDEX($A$3:$AD$1877,0,$AG$6),"NON-COMPLIED")=1,1,0)))))</f>
        <v>0</v>
      </c>
    </row>
    <row r="1878" customFormat="false" ht="15" hidden="false" customHeight="false" outlineLevel="0" collapsed="false">
      <c r="AH1878" s="21" t="n">
        <f aca="false">IF($AG$4=0,0,IF($AG$6=0,0,IF(INDEX($A1878:$AD1878,$AG$4)="",0,IF(INDEX($A1878:$AD1878,$AG$6)&lt;&gt;"NON-COMPLIED",0,IF(COUNTIFS(INDEX($A$3:$AD$1878,0,$AG$4),INDEX($A1878:$AD1878,$AG$4),INDEX($A$3:$AD$1878,0,$AG$6),"NON-COMPLIED")=1,1,0)))))</f>
        <v>0</v>
      </c>
    </row>
    <row r="1879" customFormat="false" ht="15" hidden="false" customHeight="false" outlineLevel="0" collapsed="false">
      <c r="AH1879" s="21" t="n">
        <f aca="false">IF($AG$4=0,0,IF($AG$6=0,0,IF(INDEX($A1879:$AD1879,$AG$4)="",0,IF(INDEX($A1879:$AD1879,$AG$6)&lt;&gt;"NON-COMPLIED",0,IF(COUNTIFS(INDEX($A$3:$AD$1879,0,$AG$4),INDEX($A1879:$AD1879,$AG$4),INDEX($A$3:$AD$1879,0,$AG$6),"NON-COMPLIED")=1,1,0)))))</f>
        <v>0</v>
      </c>
    </row>
    <row r="1880" customFormat="false" ht="15" hidden="false" customHeight="false" outlineLevel="0" collapsed="false">
      <c r="AH1880" s="21" t="n">
        <f aca="false">IF($AG$4=0,0,IF($AG$6=0,0,IF(INDEX($A1880:$AD1880,$AG$4)="",0,IF(INDEX($A1880:$AD1880,$AG$6)&lt;&gt;"NON-COMPLIED",0,IF(COUNTIFS(INDEX($A$3:$AD$1880,0,$AG$4),INDEX($A1880:$AD1880,$AG$4),INDEX($A$3:$AD$1880,0,$AG$6),"NON-COMPLIED")=1,1,0)))))</f>
        <v>0</v>
      </c>
    </row>
    <row r="1881" customFormat="false" ht="15" hidden="false" customHeight="false" outlineLevel="0" collapsed="false">
      <c r="AH1881" s="21" t="n">
        <f aca="false">IF($AG$4=0,0,IF($AG$6=0,0,IF(INDEX($A1881:$AD1881,$AG$4)="",0,IF(INDEX($A1881:$AD1881,$AG$6)&lt;&gt;"NON-COMPLIED",0,IF(COUNTIFS(INDEX($A$3:$AD$1881,0,$AG$4),INDEX($A1881:$AD1881,$AG$4),INDEX($A$3:$AD$1881,0,$AG$6),"NON-COMPLIED")=1,1,0)))))</f>
        <v>0</v>
      </c>
    </row>
    <row r="1882" customFormat="false" ht="15" hidden="false" customHeight="false" outlineLevel="0" collapsed="false">
      <c r="AH1882" s="21" t="n">
        <f aca="false">IF($AG$4=0,0,IF($AG$6=0,0,IF(INDEX($A1882:$AD1882,$AG$4)="",0,IF(INDEX($A1882:$AD1882,$AG$6)&lt;&gt;"NON-COMPLIED",0,IF(COUNTIFS(INDEX($A$3:$AD$1882,0,$AG$4),INDEX($A1882:$AD1882,$AG$4),INDEX($A$3:$AD$1882,0,$AG$6),"NON-COMPLIED")=1,1,0)))))</f>
        <v>0</v>
      </c>
    </row>
    <row r="1883" customFormat="false" ht="15" hidden="false" customHeight="false" outlineLevel="0" collapsed="false">
      <c r="AH1883" s="21" t="n">
        <f aca="false">IF($AG$4=0,0,IF($AG$6=0,0,IF(INDEX($A1883:$AD1883,$AG$4)="",0,IF(INDEX($A1883:$AD1883,$AG$6)&lt;&gt;"NON-COMPLIED",0,IF(COUNTIFS(INDEX($A$3:$AD$1883,0,$AG$4),INDEX($A1883:$AD1883,$AG$4),INDEX($A$3:$AD$1883,0,$AG$6),"NON-COMPLIED")=1,1,0)))))</f>
        <v>0</v>
      </c>
    </row>
    <row r="1884" customFormat="false" ht="15" hidden="false" customHeight="false" outlineLevel="0" collapsed="false">
      <c r="AH1884" s="21" t="n">
        <f aca="false">IF($AG$4=0,0,IF($AG$6=0,0,IF(INDEX($A1884:$AD1884,$AG$4)="",0,IF(INDEX($A1884:$AD1884,$AG$6)&lt;&gt;"NON-COMPLIED",0,IF(COUNTIFS(INDEX($A$3:$AD$1884,0,$AG$4),INDEX($A1884:$AD1884,$AG$4),INDEX($A$3:$AD$1884,0,$AG$6),"NON-COMPLIED")=1,1,0)))))</f>
        <v>0</v>
      </c>
    </row>
    <row r="1885" customFormat="false" ht="15" hidden="false" customHeight="false" outlineLevel="0" collapsed="false">
      <c r="AH1885" s="21" t="n">
        <f aca="false">IF($AG$4=0,0,IF($AG$6=0,0,IF(INDEX($A1885:$AD1885,$AG$4)="",0,IF(INDEX($A1885:$AD1885,$AG$6)&lt;&gt;"NON-COMPLIED",0,IF(COUNTIFS(INDEX($A$3:$AD$1885,0,$AG$4),INDEX($A1885:$AD1885,$AG$4),INDEX($A$3:$AD$1885,0,$AG$6),"NON-COMPLIED")=1,1,0)))))</f>
        <v>0</v>
      </c>
    </row>
    <row r="1886" customFormat="false" ht="15" hidden="false" customHeight="false" outlineLevel="0" collapsed="false">
      <c r="AH1886" s="21" t="n">
        <f aca="false">IF($AG$4=0,0,IF($AG$6=0,0,IF(INDEX($A1886:$AD1886,$AG$4)="",0,IF(INDEX($A1886:$AD1886,$AG$6)&lt;&gt;"NON-COMPLIED",0,IF(COUNTIFS(INDEX($A$3:$AD$1886,0,$AG$4),INDEX($A1886:$AD1886,$AG$4),INDEX($A$3:$AD$1886,0,$AG$6),"NON-COMPLIED")=1,1,0)))))</f>
        <v>0</v>
      </c>
    </row>
    <row r="1887" customFormat="false" ht="15" hidden="false" customHeight="false" outlineLevel="0" collapsed="false">
      <c r="AH1887" s="21" t="n">
        <f aca="false">IF($AG$4=0,0,IF($AG$6=0,0,IF(INDEX($A1887:$AD1887,$AG$4)="",0,IF(INDEX($A1887:$AD1887,$AG$6)&lt;&gt;"NON-COMPLIED",0,IF(COUNTIFS(INDEX($A$3:$AD$1887,0,$AG$4),INDEX($A1887:$AD1887,$AG$4),INDEX($A$3:$AD$1887,0,$AG$6),"NON-COMPLIED")=1,1,0)))))</f>
        <v>0</v>
      </c>
    </row>
    <row r="1888" customFormat="false" ht="15" hidden="false" customHeight="false" outlineLevel="0" collapsed="false">
      <c r="AH1888" s="21" t="n">
        <f aca="false">IF($AG$4=0,0,IF($AG$6=0,0,IF(INDEX($A1888:$AD1888,$AG$4)="",0,IF(INDEX($A1888:$AD1888,$AG$6)&lt;&gt;"NON-COMPLIED",0,IF(COUNTIFS(INDEX($A$3:$AD$1888,0,$AG$4),INDEX($A1888:$AD1888,$AG$4),INDEX($A$3:$AD$1888,0,$AG$6),"NON-COMPLIED")=1,1,0)))))</f>
        <v>0</v>
      </c>
    </row>
    <row r="1889" customFormat="false" ht="15" hidden="false" customHeight="false" outlineLevel="0" collapsed="false">
      <c r="AH1889" s="21" t="n">
        <f aca="false">IF($AG$4=0,0,IF($AG$6=0,0,IF(INDEX($A1889:$AD1889,$AG$4)="",0,IF(INDEX($A1889:$AD1889,$AG$6)&lt;&gt;"NON-COMPLIED",0,IF(COUNTIFS(INDEX($A$3:$AD$1889,0,$AG$4),INDEX($A1889:$AD1889,$AG$4),INDEX($A$3:$AD$1889,0,$AG$6),"NON-COMPLIED")=1,1,0)))))</f>
        <v>0</v>
      </c>
    </row>
    <row r="1890" customFormat="false" ht="15" hidden="false" customHeight="false" outlineLevel="0" collapsed="false">
      <c r="AH1890" s="21" t="n">
        <f aca="false">IF($AG$4=0,0,IF($AG$6=0,0,IF(INDEX($A1890:$AD1890,$AG$4)="",0,IF(INDEX($A1890:$AD1890,$AG$6)&lt;&gt;"NON-COMPLIED",0,IF(COUNTIFS(INDEX($A$3:$AD$1890,0,$AG$4),INDEX($A1890:$AD1890,$AG$4),INDEX($A$3:$AD$1890,0,$AG$6),"NON-COMPLIED")=1,1,0)))))</f>
        <v>0</v>
      </c>
    </row>
    <row r="1891" customFormat="false" ht="15" hidden="false" customHeight="false" outlineLevel="0" collapsed="false">
      <c r="AH1891" s="21" t="n">
        <f aca="false">IF($AG$4=0,0,IF($AG$6=0,0,IF(INDEX($A1891:$AD1891,$AG$4)="",0,IF(INDEX($A1891:$AD1891,$AG$6)&lt;&gt;"NON-COMPLIED",0,IF(COUNTIFS(INDEX($A$3:$AD$1891,0,$AG$4),INDEX($A1891:$AD1891,$AG$4),INDEX($A$3:$AD$1891,0,$AG$6),"NON-COMPLIED")=1,1,0)))))</f>
        <v>0</v>
      </c>
    </row>
    <row r="1892" customFormat="false" ht="15" hidden="false" customHeight="false" outlineLevel="0" collapsed="false">
      <c r="AH1892" s="21" t="n">
        <f aca="false">IF($AG$4=0,0,IF($AG$6=0,0,IF(INDEX($A1892:$AD1892,$AG$4)="",0,IF(INDEX($A1892:$AD1892,$AG$6)&lt;&gt;"NON-COMPLIED",0,IF(COUNTIFS(INDEX($A$3:$AD$1892,0,$AG$4),INDEX($A1892:$AD1892,$AG$4),INDEX($A$3:$AD$1892,0,$AG$6),"NON-COMPLIED")=1,1,0)))))</f>
        <v>0</v>
      </c>
    </row>
    <row r="1893" customFormat="false" ht="15" hidden="false" customHeight="false" outlineLevel="0" collapsed="false">
      <c r="AH1893" s="21" t="n">
        <f aca="false">IF($AG$4=0,0,IF($AG$6=0,0,IF(INDEX($A1893:$AD1893,$AG$4)="",0,IF(INDEX($A1893:$AD1893,$AG$6)&lt;&gt;"NON-COMPLIED",0,IF(COUNTIFS(INDEX($A$3:$AD$1893,0,$AG$4),INDEX($A1893:$AD1893,$AG$4),INDEX($A$3:$AD$1893,0,$AG$6),"NON-COMPLIED")=1,1,0)))))</f>
        <v>0</v>
      </c>
    </row>
    <row r="1894" customFormat="false" ht="15" hidden="false" customHeight="false" outlineLevel="0" collapsed="false">
      <c r="AH1894" s="21" t="n">
        <f aca="false">IF($AG$4=0,0,IF($AG$6=0,0,IF(INDEX($A1894:$AD1894,$AG$4)="",0,IF(INDEX($A1894:$AD1894,$AG$6)&lt;&gt;"NON-COMPLIED",0,IF(COUNTIFS(INDEX($A$3:$AD$1894,0,$AG$4),INDEX($A1894:$AD1894,$AG$4),INDEX($A$3:$AD$1894,0,$AG$6),"NON-COMPLIED")=1,1,0)))))</f>
        <v>0</v>
      </c>
    </row>
    <row r="1895" customFormat="false" ht="15" hidden="false" customHeight="false" outlineLevel="0" collapsed="false">
      <c r="AH1895" s="21" t="n">
        <f aca="false">IF($AG$4=0,0,IF($AG$6=0,0,IF(INDEX($A1895:$AD1895,$AG$4)="",0,IF(INDEX($A1895:$AD1895,$AG$6)&lt;&gt;"NON-COMPLIED",0,IF(COUNTIFS(INDEX($A$3:$AD$1895,0,$AG$4),INDEX($A1895:$AD1895,$AG$4),INDEX($A$3:$AD$1895,0,$AG$6),"NON-COMPLIED")=1,1,0)))))</f>
        <v>0</v>
      </c>
    </row>
    <row r="1896" customFormat="false" ht="15" hidden="false" customHeight="false" outlineLevel="0" collapsed="false">
      <c r="AH1896" s="21" t="n">
        <f aca="false">IF($AG$4=0,0,IF($AG$6=0,0,IF(INDEX($A1896:$AD1896,$AG$4)="",0,IF(INDEX($A1896:$AD1896,$AG$6)&lt;&gt;"NON-COMPLIED",0,IF(COUNTIFS(INDEX($A$3:$AD$1896,0,$AG$4),INDEX($A1896:$AD1896,$AG$4),INDEX($A$3:$AD$1896,0,$AG$6),"NON-COMPLIED")=1,1,0)))))</f>
        <v>0</v>
      </c>
    </row>
    <row r="1897" customFormat="false" ht="15" hidden="false" customHeight="false" outlineLevel="0" collapsed="false">
      <c r="AH1897" s="21" t="n">
        <f aca="false">IF($AG$4=0,0,IF($AG$6=0,0,IF(INDEX($A1897:$AD1897,$AG$4)="",0,IF(INDEX($A1897:$AD1897,$AG$6)&lt;&gt;"NON-COMPLIED",0,IF(COUNTIFS(INDEX($A$3:$AD$1897,0,$AG$4),INDEX($A1897:$AD1897,$AG$4),INDEX($A$3:$AD$1897,0,$AG$6),"NON-COMPLIED")=1,1,0)))))</f>
        <v>0</v>
      </c>
    </row>
    <row r="1898" customFormat="false" ht="15" hidden="false" customHeight="false" outlineLevel="0" collapsed="false">
      <c r="AH1898" s="21" t="n">
        <f aca="false">IF($AG$4=0,0,IF($AG$6=0,0,IF(INDEX($A1898:$AD1898,$AG$4)="",0,IF(INDEX($A1898:$AD1898,$AG$6)&lt;&gt;"NON-COMPLIED",0,IF(COUNTIFS(INDEX($A$3:$AD$1898,0,$AG$4),INDEX($A1898:$AD1898,$AG$4),INDEX($A$3:$AD$1898,0,$AG$6),"NON-COMPLIED")=1,1,0)))))</f>
        <v>0</v>
      </c>
    </row>
    <row r="1899" customFormat="false" ht="15" hidden="false" customHeight="false" outlineLevel="0" collapsed="false">
      <c r="AH1899" s="21" t="n">
        <f aca="false">IF($AG$4=0,0,IF($AG$6=0,0,IF(INDEX($A1899:$AD1899,$AG$4)="",0,IF(INDEX($A1899:$AD1899,$AG$6)&lt;&gt;"NON-COMPLIED",0,IF(COUNTIFS(INDEX($A$3:$AD$1899,0,$AG$4),INDEX($A1899:$AD1899,$AG$4),INDEX($A$3:$AD$1899,0,$AG$6),"NON-COMPLIED")=1,1,0)))))</f>
        <v>0</v>
      </c>
    </row>
    <row r="1900" customFormat="false" ht="15" hidden="false" customHeight="false" outlineLevel="0" collapsed="false">
      <c r="AH1900" s="21" t="n">
        <f aca="false">IF($AG$4=0,0,IF($AG$6=0,0,IF(INDEX($A1900:$AD1900,$AG$4)="",0,IF(INDEX($A1900:$AD1900,$AG$6)&lt;&gt;"NON-COMPLIED",0,IF(COUNTIFS(INDEX($A$3:$AD$1900,0,$AG$4),INDEX($A1900:$AD1900,$AG$4),INDEX($A$3:$AD$1900,0,$AG$6),"NON-COMPLIED")=1,1,0)))))</f>
        <v>0</v>
      </c>
    </row>
    <row r="1901" customFormat="false" ht="15" hidden="false" customHeight="false" outlineLevel="0" collapsed="false">
      <c r="AH1901" s="21" t="n">
        <f aca="false">IF($AG$4=0,0,IF($AG$6=0,0,IF(INDEX($A1901:$AD1901,$AG$4)="",0,IF(INDEX($A1901:$AD1901,$AG$6)&lt;&gt;"NON-COMPLIED",0,IF(COUNTIFS(INDEX($A$3:$AD$1901,0,$AG$4),INDEX($A1901:$AD1901,$AG$4),INDEX($A$3:$AD$1901,0,$AG$6),"NON-COMPLIED")=1,1,0)))))</f>
        <v>0</v>
      </c>
    </row>
    <row r="1902" customFormat="false" ht="15" hidden="false" customHeight="false" outlineLevel="0" collapsed="false">
      <c r="AH1902" s="21" t="n">
        <f aca="false">IF($AG$4=0,0,IF($AG$6=0,0,IF(INDEX($A1902:$AD1902,$AG$4)="",0,IF(INDEX($A1902:$AD1902,$AG$6)&lt;&gt;"NON-COMPLIED",0,IF(COUNTIFS(INDEX($A$3:$AD$1902,0,$AG$4),INDEX($A1902:$AD1902,$AG$4),INDEX($A$3:$AD$1902,0,$AG$6),"NON-COMPLIED")=1,1,0)))))</f>
        <v>0</v>
      </c>
    </row>
    <row r="1903" customFormat="false" ht="15" hidden="false" customHeight="false" outlineLevel="0" collapsed="false">
      <c r="AH1903" s="21" t="n">
        <f aca="false">IF($AG$4=0,0,IF($AG$6=0,0,IF(INDEX($A1903:$AD1903,$AG$4)="",0,IF(INDEX($A1903:$AD1903,$AG$6)&lt;&gt;"NON-COMPLIED",0,IF(COUNTIFS(INDEX($A$3:$AD$1903,0,$AG$4),INDEX($A1903:$AD1903,$AG$4),INDEX($A$3:$AD$1903,0,$AG$6),"NON-COMPLIED")=1,1,0)))))</f>
        <v>0</v>
      </c>
    </row>
    <row r="1904" customFormat="false" ht="15" hidden="false" customHeight="false" outlineLevel="0" collapsed="false">
      <c r="AH1904" s="21" t="n">
        <f aca="false">IF($AG$4=0,0,IF($AG$6=0,0,IF(INDEX($A1904:$AD1904,$AG$4)="",0,IF(INDEX($A1904:$AD1904,$AG$6)&lt;&gt;"NON-COMPLIED",0,IF(COUNTIFS(INDEX($A$3:$AD$1904,0,$AG$4),INDEX($A1904:$AD1904,$AG$4),INDEX($A$3:$AD$1904,0,$AG$6),"NON-COMPLIED")=1,1,0)))))</f>
        <v>0</v>
      </c>
    </row>
    <row r="1905" customFormat="false" ht="15" hidden="false" customHeight="false" outlineLevel="0" collapsed="false">
      <c r="AH1905" s="21" t="n">
        <f aca="false">IF($AG$4=0,0,IF($AG$6=0,0,IF(INDEX($A1905:$AD1905,$AG$4)="",0,IF(INDEX($A1905:$AD1905,$AG$6)&lt;&gt;"NON-COMPLIED",0,IF(COUNTIFS(INDEX($A$3:$AD$1905,0,$AG$4),INDEX($A1905:$AD1905,$AG$4),INDEX($A$3:$AD$1905,0,$AG$6),"NON-COMPLIED")=1,1,0)))))</f>
        <v>0</v>
      </c>
    </row>
    <row r="1906" customFormat="false" ht="15" hidden="false" customHeight="false" outlineLevel="0" collapsed="false">
      <c r="AH1906" s="21" t="n">
        <f aca="false">IF($AG$4=0,0,IF($AG$6=0,0,IF(INDEX($A1906:$AD1906,$AG$4)="",0,IF(INDEX($A1906:$AD1906,$AG$6)&lt;&gt;"NON-COMPLIED",0,IF(COUNTIFS(INDEX($A$3:$AD$1906,0,$AG$4),INDEX($A1906:$AD1906,$AG$4),INDEX($A$3:$AD$1906,0,$AG$6),"NON-COMPLIED")=1,1,0)))))</f>
        <v>0</v>
      </c>
    </row>
    <row r="1907" customFormat="false" ht="15" hidden="false" customHeight="false" outlineLevel="0" collapsed="false">
      <c r="AH1907" s="21" t="n">
        <f aca="false">IF($AG$4=0,0,IF($AG$6=0,0,IF(INDEX($A1907:$AD1907,$AG$4)="",0,IF(INDEX($A1907:$AD1907,$AG$6)&lt;&gt;"NON-COMPLIED",0,IF(COUNTIFS(INDEX($A$3:$AD$1907,0,$AG$4),INDEX($A1907:$AD1907,$AG$4),INDEX($A$3:$AD$1907,0,$AG$6),"NON-COMPLIED")=1,1,0)))))</f>
        <v>0</v>
      </c>
    </row>
    <row r="1908" customFormat="false" ht="15" hidden="false" customHeight="false" outlineLevel="0" collapsed="false">
      <c r="AH1908" s="21" t="n">
        <f aca="false">IF($AG$4=0,0,IF($AG$6=0,0,IF(INDEX($A1908:$AD1908,$AG$4)="",0,IF(INDEX($A1908:$AD1908,$AG$6)&lt;&gt;"NON-COMPLIED",0,IF(COUNTIFS(INDEX($A$3:$AD$1908,0,$AG$4),INDEX($A1908:$AD1908,$AG$4),INDEX($A$3:$AD$1908,0,$AG$6),"NON-COMPLIED")=1,1,0)))))</f>
        <v>0</v>
      </c>
    </row>
    <row r="1909" customFormat="false" ht="15" hidden="false" customHeight="false" outlineLevel="0" collapsed="false">
      <c r="AH1909" s="21" t="n">
        <f aca="false">IF($AG$4=0,0,IF($AG$6=0,0,IF(INDEX($A1909:$AD1909,$AG$4)="",0,IF(INDEX($A1909:$AD1909,$AG$6)&lt;&gt;"NON-COMPLIED",0,IF(COUNTIFS(INDEX($A$3:$AD$1909,0,$AG$4),INDEX($A1909:$AD1909,$AG$4),INDEX($A$3:$AD$1909,0,$AG$6),"NON-COMPLIED")=1,1,0)))))</f>
        <v>0</v>
      </c>
    </row>
    <row r="1910" customFormat="false" ht="15" hidden="false" customHeight="false" outlineLevel="0" collapsed="false">
      <c r="AH1910" s="21" t="n">
        <f aca="false">IF($AG$4=0,0,IF($AG$6=0,0,IF(INDEX($A1910:$AD1910,$AG$4)="",0,IF(INDEX($A1910:$AD1910,$AG$6)&lt;&gt;"NON-COMPLIED",0,IF(COUNTIFS(INDEX($A$3:$AD$1910,0,$AG$4),INDEX($A1910:$AD1910,$AG$4),INDEX($A$3:$AD$1910,0,$AG$6),"NON-COMPLIED")=1,1,0)))))</f>
        <v>0</v>
      </c>
    </row>
    <row r="1911" customFormat="false" ht="15" hidden="false" customHeight="false" outlineLevel="0" collapsed="false">
      <c r="AH1911" s="21" t="n">
        <f aca="false">IF($AG$4=0,0,IF($AG$6=0,0,IF(INDEX($A1911:$AD1911,$AG$4)="",0,IF(INDEX($A1911:$AD1911,$AG$6)&lt;&gt;"NON-COMPLIED",0,IF(COUNTIFS(INDEX($A$3:$AD$1911,0,$AG$4),INDEX($A1911:$AD1911,$AG$4),INDEX($A$3:$AD$1911,0,$AG$6),"NON-COMPLIED")=1,1,0)))))</f>
        <v>0</v>
      </c>
    </row>
    <row r="1912" customFormat="false" ht="15" hidden="false" customHeight="false" outlineLevel="0" collapsed="false">
      <c r="AH1912" s="21" t="n">
        <f aca="false">IF($AG$4=0,0,IF($AG$6=0,0,IF(INDEX($A1912:$AD1912,$AG$4)="",0,IF(INDEX($A1912:$AD1912,$AG$6)&lt;&gt;"NON-COMPLIED",0,IF(COUNTIFS(INDEX($A$3:$AD$1912,0,$AG$4),INDEX($A1912:$AD1912,$AG$4),INDEX($A$3:$AD$1912,0,$AG$6),"NON-COMPLIED")=1,1,0)))))</f>
        <v>0</v>
      </c>
    </row>
    <row r="1913" customFormat="false" ht="15" hidden="false" customHeight="false" outlineLevel="0" collapsed="false">
      <c r="AH1913" s="21" t="n">
        <f aca="false">IF($AG$4=0,0,IF($AG$6=0,0,IF(INDEX($A1913:$AD1913,$AG$4)="",0,IF(INDEX($A1913:$AD1913,$AG$6)&lt;&gt;"NON-COMPLIED",0,IF(COUNTIFS(INDEX($A$3:$AD$1913,0,$AG$4),INDEX($A1913:$AD1913,$AG$4),INDEX($A$3:$AD$1913,0,$AG$6),"NON-COMPLIED")=1,1,0)))))</f>
        <v>0</v>
      </c>
    </row>
    <row r="1914" customFormat="false" ht="15" hidden="false" customHeight="false" outlineLevel="0" collapsed="false">
      <c r="AH1914" s="21" t="n">
        <f aca="false">IF($AG$4=0,0,IF($AG$6=0,0,IF(INDEX($A1914:$AD1914,$AG$4)="",0,IF(INDEX($A1914:$AD1914,$AG$6)&lt;&gt;"NON-COMPLIED",0,IF(COUNTIFS(INDEX($A$3:$AD$1914,0,$AG$4),INDEX($A1914:$AD1914,$AG$4),INDEX($A$3:$AD$1914,0,$AG$6),"NON-COMPLIED")=1,1,0)))))</f>
        <v>0</v>
      </c>
    </row>
    <row r="1915" customFormat="false" ht="15" hidden="false" customHeight="false" outlineLevel="0" collapsed="false">
      <c r="AH1915" s="21" t="n">
        <f aca="false">IF($AG$4=0,0,IF($AG$6=0,0,IF(INDEX($A1915:$AD1915,$AG$4)="",0,IF(INDEX($A1915:$AD1915,$AG$6)&lt;&gt;"NON-COMPLIED",0,IF(COUNTIFS(INDEX($A$3:$AD$1915,0,$AG$4),INDEX($A1915:$AD1915,$AG$4),INDEX($A$3:$AD$1915,0,$AG$6),"NON-COMPLIED")=1,1,0)))))</f>
        <v>0</v>
      </c>
    </row>
    <row r="1916" customFormat="false" ht="15" hidden="false" customHeight="false" outlineLevel="0" collapsed="false">
      <c r="AH1916" s="21" t="n">
        <f aca="false">IF($AG$4=0,0,IF($AG$6=0,0,IF(INDEX($A1916:$AD1916,$AG$4)="",0,IF(INDEX($A1916:$AD1916,$AG$6)&lt;&gt;"NON-COMPLIED",0,IF(COUNTIFS(INDEX($A$3:$AD$1916,0,$AG$4),INDEX($A1916:$AD1916,$AG$4),INDEX($A$3:$AD$1916,0,$AG$6),"NON-COMPLIED")=1,1,0)))))</f>
        <v>0</v>
      </c>
    </row>
    <row r="1917" customFormat="false" ht="15" hidden="false" customHeight="false" outlineLevel="0" collapsed="false">
      <c r="AH1917" s="21" t="n">
        <f aca="false">IF($AG$4=0,0,IF($AG$6=0,0,IF(INDEX($A1917:$AD1917,$AG$4)="",0,IF(INDEX($A1917:$AD1917,$AG$6)&lt;&gt;"NON-COMPLIED",0,IF(COUNTIFS(INDEX($A$3:$AD$1917,0,$AG$4),INDEX($A1917:$AD1917,$AG$4),INDEX($A$3:$AD$1917,0,$AG$6),"NON-COMPLIED")=1,1,0)))))</f>
        <v>0</v>
      </c>
    </row>
    <row r="1918" customFormat="false" ht="15" hidden="false" customHeight="false" outlineLevel="0" collapsed="false">
      <c r="AH1918" s="21" t="n">
        <f aca="false">IF($AG$4=0,0,IF($AG$6=0,0,IF(INDEX($A1918:$AD1918,$AG$4)="",0,IF(INDEX($A1918:$AD1918,$AG$6)&lt;&gt;"NON-COMPLIED",0,IF(COUNTIFS(INDEX($A$3:$AD$1918,0,$AG$4),INDEX($A1918:$AD1918,$AG$4),INDEX($A$3:$AD$1918,0,$AG$6),"NON-COMPLIED")=1,1,0)))))</f>
        <v>0</v>
      </c>
    </row>
    <row r="1919" customFormat="false" ht="15" hidden="false" customHeight="false" outlineLevel="0" collapsed="false">
      <c r="AH1919" s="21" t="n">
        <f aca="false">IF($AG$4=0,0,IF($AG$6=0,0,IF(INDEX($A1919:$AD1919,$AG$4)="",0,IF(INDEX($A1919:$AD1919,$AG$6)&lt;&gt;"NON-COMPLIED",0,IF(COUNTIFS(INDEX($A$3:$AD$1919,0,$AG$4),INDEX($A1919:$AD1919,$AG$4),INDEX($A$3:$AD$1919,0,$AG$6),"NON-COMPLIED")=1,1,0)))))</f>
        <v>0</v>
      </c>
    </row>
    <row r="1920" customFormat="false" ht="15" hidden="false" customHeight="false" outlineLevel="0" collapsed="false">
      <c r="AH1920" s="21" t="n">
        <f aca="false">IF($AG$4=0,0,IF($AG$6=0,0,IF(INDEX($A1920:$AD1920,$AG$4)="",0,IF(INDEX($A1920:$AD1920,$AG$6)&lt;&gt;"NON-COMPLIED",0,IF(COUNTIFS(INDEX($A$3:$AD$1920,0,$AG$4),INDEX($A1920:$AD1920,$AG$4),INDEX($A$3:$AD$1920,0,$AG$6),"NON-COMPLIED")=1,1,0)))))</f>
        <v>0</v>
      </c>
    </row>
    <row r="1921" customFormat="false" ht="15" hidden="false" customHeight="false" outlineLevel="0" collapsed="false">
      <c r="AH1921" s="21" t="n">
        <f aca="false">IF($AG$4=0,0,IF($AG$6=0,0,IF(INDEX($A1921:$AD1921,$AG$4)="",0,IF(INDEX($A1921:$AD1921,$AG$6)&lt;&gt;"NON-COMPLIED",0,IF(COUNTIFS(INDEX($A$3:$AD$1921,0,$AG$4),INDEX($A1921:$AD1921,$AG$4),INDEX($A$3:$AD$1921,0,$AG$6),"NON-COMPLIED")=1,1,0)))))</f>
        <v>0</v>
      </c>
    </row>
    <row r="1922" customFormat="false" ht="15" hidden="false" customHeight="false" outlineLevel="0" collapsed="false">
      <c r="AH1922" s="21" t="n">
        <f aca="false">IF($AG$4=0,0,IF($AG$6=0,0,IF(INDEX($A1922:$AD1922,$AG$4)="",0,IF(INDEX($A1922:$AD1922,$AG$6)&lt;&gt;"NON-COMPLIED",0,IF(COUNTIFS(INDEX($A$3:$AD$1922,0,$AG$4),INDEX($A1922:$AD1922,$AG$4),INDEX($A$3:$AD$1922,0,$AG$6),"NON-COMPLIED")=1,1,0)))))</f>
        <v>0</v>
      </c>
    </row>
    <row r="1923" customFormat="false" ht="15" hidden="false" customHeight="false" outlineLevel="0" collapsed="false">
      <c r="AH1923" s="21" t="n">
        <f aca="false">IF($AG$4=0,0,IF($AG$6=0,0,IF(INDEX($A1923:$AD1923,$AG$4)="",0,IF(INDEX($A1923:$AD1923,$AG$6)&lt;&gt;"NON-COMPLIED",0,IF(COUNTIFS(INDEX($A$3:$AD$1923,0,$AG$4),INDEX($A1923:$AD1923,$AG$4),INDEX($A$3:$AD$1923,0,$AG$6),"NON-COMPLIED")=1,1,0)))))</f>
        <v>0</v>
      </c>
    </row>
    <row r="1924" customFormat="false" ht="15" hidden="false" customHeight="false" outlineLevel="0" collapsed="false">
      <c r="AH1924" s="21" t="n">
        <f aca="false">IF($AG$4=0,0,IF($AG$6=0,0,IF(INDEX($A1924:$AD1924,$AG$4)="",0,IF(INDEX($A1924:$AD1924,$AG$6)&lt;&gt;"NON-COMPLIED",0,IF(COUNTIFS(INDEX($A$3:$AD$1924,0,$AG$4),INDEX($A1924:$AD1924,$AG$4),INDEX($A$3:$AD$1924,0,$AG$6),"NON-COMPLIED")=1,1,0)))))</f>
        <v>0</v>
      </c>
    </row>
    <row r="1925" customFormat="false" ht="15" hidden="false" customHeight="false" outlineLevel="0" collapsed="false">
      <c r="AH1925" s="21" t="n">
        <f aca="false">IF($AG$4=0,0,IF($AG$6=0,0,IF(INDEX($A1925:$AD1925,$AG$4)="",0,IF(INDEX($A1925:$AD1925,$AG$6)&lt;&gt;"NON-COMPLIED",0,IF(COUNTIFS(INDEX($A$3:$AD$1925,0,$AG$4),INDEX($A1925:$AD1925,$AG$4),INDEX($A$3:$AD$1925,0,$AG$6),"NON-COMPLIED")=1,1,0)))))</f>
        <v>0</v>
      </c>
    </row>
    <row r="1926" customFormat="false" ht="15" hidden="false" customHeight="false" outlineLevel="0" collapsed="false">
      <c r="AH1926" s="21" t="n">
        <f aca="false">IF($AG$4=0,0,IF($AG$6=0,0,IF(INDEX($A1926:$AD1926,$AG$4)="",0,IF(INDEX($A1926:$AD1926,$AG$6)&lt;&gt;"NON-COMPLIED",0,IF(COUNTIFS(INDEX($A$3:$AD$1926,0,$AG$4),INDEX($A1926:$AD1926,$AG$4),INDEX($A$3:$AD$1926,0,$AG$6),"NON-COMPLIED")=1,1,0)))))</f>
        <v>0</v>
      </c>
    </row>
    <row r="1927" customFormat="false" ht="15" hidden="false" customHeight="false" outlineLevel="0" collapsed="false">
      <c r="AH1927" s="21" t="n">
        <f aca="false">IF($AG$4=0,0,IF($AG$6=0,0,IF(INDEX($A1927:$AD1927,$AG$4)="",0,IF(INDEX($A1927:$AD1927,$AG$6)&lt;&gt;"NON-COMPLIED",0,IF(COUNTIFS(INDEX($A$3:$AD$1927,0,$AG$4),INDEX($A1927:$AD1927,$AG$4),INDEX($A$3:$AD$1927,0,$AG$6),"NON-COMPLIED")=1,1,0)))))</f>
        <v>0</v>
      </c>
    </row>
    <row r="1928" customFormat="false" ht="15" hidden="false" customHeight="false" outlineLevel="0" collapsed="false">
      <c r="AH1928" s="21" t="n">
        <f aca="false">IF($AG$4=0,0,IF($AG$6=0,0,IF(INDEX($A1928:$AD1928,$AG$4)="",0,IF(INDEX($A1928:$AD1928,$AG$6)&lt;&gt;"NON-COMPLIED",0,IF(COUNTIFS(INDEX($A$3:$AD$1928,0,$AG$4),INDEX($A1928:$AD1928,$AG$4),INDEX($A$3:$AD$1928,0,$AG$6),"NON-COMPLIED")=1,1,0)))))</f>
        <v>0</v>
      </c>
    </row>
    <row r="1929" customFormat="false" ht="15" hidden="false" customHeight="false" outlineLevel="0" collapsed="false">
      <c r="AH1929" s="21" t="n">
        <f aca="false">IF($AG$4=0,0,IF($AG$6=0,0,IF(INDEX($A1929:$AD1929,$AG$4)="",0,IF(INDEX($A1929:$AD1929,$AG$6)&lt;&gt;"NON-COMPLIED",0,IF(COUNTIFS(INDEX($A$3:$AD$1929,0,$AG$4),INDEX($A1929:$AD1929,$AG$4),INDEX($A$3:$AD$1929,0,$AG$6),"NON-COMPLIED")=1,1,0)))))</f>
        <v>0</v>
      </c>
    </row>
    <row r="1930" customFormat="false" ht="15" hidden="false" customHeight="false" outlineLevel="0" collapsed="false">
      <c r="AH1930" s="21" t="n">
        <f aca="false">IF($AG$4=0,0,IF($AG$6=0,0,IF(INDEX($A1930:$AD1930,$AG$4)="",0,IF(INDEX($A1930:$AD1930,$AG$6)&lt;&gt;"NON-COMPLIED",0,IF(COUNTIFS(INDEX($A$3:$AD$1930,0,$AG$4),INDEX($A1930:$AD1930,$AG$4),INDEX($A$3:$AD$1930,0,$AG$6),"NON-COMPLIED")=1,1,0)))))</f>
        <v>0</v>
      </c>
    </row>
    <row r="1931" customFormat="false" ht="15" hidden="false" customHeight="false" outlineLevel="0" collapsed="false">
      <c r="AH1931" s="21" t="n">
        <f aca="false">IF($AG$4=0,0,IF($AG$6=0,0,IF(INDEX($A1931:$AD1931,$AG$4)="",0,IF(INDEX($A1931:$AD1931,$AG$6)&lt;&gt;"NON-COMPLIED",0,IF(COUNTIFS(INDEX($A$3:$AD$1931,0,$AG$4),INDEX($A1931:$AD1931,$AG$4),INDEX($A$3:$AD$1931,0,$AG$6),"NON-COMPLIED")=1,1,0)))))</f>
        <v>0</v>
      </c>
    </row>
    <row r="1932" customFormat="false" ht="15" hidden="false" customHeight="false" outlineLevel="0" collapsed="false">
      <c r="AH1932" s="21" t="n">
        <f aca="false">IF($AG$4=0,0,IF($AG$6=0,0,IF(INDEX($A1932:$AD1932,$AG$4)="",0,IF(INDEX($A1932:$AD1932,$AG$6)&lt;&gt;"NON-COMPLIED",0,IF(COUNTIFS(INDEX($A$3:$AD$1932,0,$AG$4),INDEX($A1932:$AD1932,$AG$4),INDEX($A$3:$AD$1932,0,$AG$6),"NON-COMPLIED")=1,1,0)))))</f>
        <v>0</v>
      </c>
    </row>
    <row r="1933" customFormat="false" ht="15" hidden="false" customHeight="false" outlineLevel="0" collapsed="false">
      <c r="AH1933" s="21" t="n">
        <f aca="false">IF($AG$4=0,0,IF($AG$6=0,0,IF(INDEX($A1933:$AD1933,$AG$4)="",0,IF(INDEX($A1933:$AD1933,$AG$6)&lt;&gt;"NON-COMPLIED",0,IF(COUNTIFS(INDEX($A$3:$AD$1933,0,$AG$4),INDEX($A1933:$AD1933,$AG$4),INDEX($A$3:$AD$1933,0,$AG$6),"NON-COMPLIED")=1,1,0)))))</f>
        <v>0</v>
      </c>
    </row>
    <row r="1934" customFormat="false" ht="15" hidden="false" customHeight="false" outlineLevel="0" collapsed="false">
      <c r="AH1934" s="21" t="n">
        <f aca="false">IF($AG$4=0,0,IF($AG$6=0,0,IF(INDEX($A1934:$AD1934,$AG$4)="",0,IF(INDEX($A1934:$AD1934,$AG$6)&lt;&gt;"NON-COMPLIED",0,IF(COUNTIFS(INDEX($A$3:$AD$1934,0,$AG$4),INDEX($A1934:$AD1934,$AG$4),INDEX($A$3:$AD$1934,0,$AG$6),"NON-COMPLIED")=1,1,0)))))</f>
        <v>0</v>
      </c>
    </row>
    <row r="1935" customFormat="false" ht="15" hidden="false" customHeight="false" outlineLevel="0" collapsed="false">
      <c r="AH1935" s="21" t="n">
        <f aca="false">IF($AG$4=0,0,IF($AG$6=0,0,IF(INDEX($A1935:$AD1935,$AG$4)="",0,IF(INDEX($A1935:$AD1935,$AG$6)&lt;&gt;"NON-COMPLIED",0,IF(COUNTIFS(INDEX($A$3:$AD$1935,0,$AG$4),INDEX($A1935:$AD1935,$AG$4),INDEX($A$3:$AD$1935,0,$AG$6),"NON-COMPLIED")=1,1,0)))))</f>
        <v>0</v>
      </c>
    </row>
    <row r="1936" customFormat="false" ht="15" hidden="false" customHeight="false" outlineLevel="0" collapsed="false">
      <c r="AH1936" s="21" t="n">
        <f aca="false">IF($AG$4=0,0,IF($AG$6=0,0,IF(INDEX($A1936:$AD1936,$AG$4)="",0,IF(INDEX($A1936:$AD1936,$AG$6)&lt;&gt;"NON-COMPLIED",0,IF(COUNTIFS(INDEX($A$3:$AD$1936,0,$AG$4),INDEX($A1936:$AD1936,$AG$4),INDEX($A$3:$AD$1936,0,$AG$6),"NON-COMPLIED")=1,1,0)))))</f>
        <v>0</v>
      </c>
    </row>
    <row r="1937" customFormat="false" ht="15" hidden="false" customHeight="false" outlineLevel="0" collapsed="false">
      <c r="AH1937" s="21" t="n">
        <f aca="false">IF($AG$4=0,0,IF($AG$6=0,0,IF(INDEX($A1937:$AD1937,$AG$4)="",0,IF(INDEX($A1937:$AD1937,$AG$6)&lt;&gt;"NON-COMPLIED",0,IF(COUNTIFS(INDEX($A$3:$AD$1937,0,$AG$4),INDEX($A1937:$AD1937,$AG$4),INDEX($A$3:$AD$1937,0,$AG$6),"NON-COMPLIED")=1,1,0)))))</f>
        <v>0</v>
      </c>
    </row>
    <row r="1938" customFormat="false" ht="15" hidden="false" customHeight="false" outlineLevel="0" collapsed="false">
      <c r="AH1938" s="21" t="n">
        <f aca="false">IF($AG$4=0,0,IF($AG$6=0,0,IF(INDEX($A1938:$AD1938,$AG$4)="",0,IF(INDEX($A1938:$AD1938,$AG$6)&lt;&gt;"NON-COMPLIED",0,IF(COUNTIFS(INDEX($A$3:$AD$1938,0,$AG$4),INDEX($A1938:$AD1938,$AG$4),INDEX($A$3:$AD$1938,0,$AG$6),"NON-COMPLIED")=1,1,0)))))</f>
        <v>0</v>
      </c>
    </row>
    <row r="1939" customFormat="false" ht="15" hidden="false" customHeight="false" outlineLevel="0" collapsed="false">
      <c r="AH1939" s="21" t="n">
        <f aca="false">IF($AG$4=0,0,IF($AG$6=0,0,IF(INDEX($A1939:$AD1939,$AG$4)="",0,IF(INDEX($A1939:$AD1939,$AG$6)&lt;&gt;"NON-COMPLIED",0,IF(COUNTIFS(INDEX($A$3:$AD$1939,0,$AG$4),INDEX($A1939:$AD1939,$AG$4),INDEX($A$3:$AD$1939,0,$AG$6),"NON-COMPLIED")=1,1,0)))))</f>
        <v>0</v>
      </c>
    </row>
    <row r="1940" customFormat="false" ht="15" hidden="false" customHeight="false" outlineLevel="0" collapsed="false">
      <c r="AH1940" s="21" t="n">
        <f aca="false">IF($AG$4=0,0,IF($AG$6=0,0,IF(INDEX($A1940:$AD1940,$AG$4)="",0,IF(INDEX($A1940:$AD1940,$AG$6)&lt;&gt;"NON-COMPLIED",0,IF(COUNTIFS(INDEX($A$3:$AD$1940,0,$AG$4),INDEX($A1940:$AD1940,$AG$4),INDEX($A$3:$AD$1940,0,$AG$6),"NON-COMPLIED")=1,1,0)))))</f>
        <v>0</v>
      </c>
    </row>
    <row r="1941" customFormat="false" ht="15" hidden="false" customHeight="false" outlineLevel="0" collapsed="false">
      <c r="AH1941" s="21" t="n">
        <f aca="false">IF($AG$4=0,0,IF($AG$6=0,0,IF(INDEX($A1941:$AD1941,$AG$4)="",0,IF(INDEX($A1941:$AD1941,$AG$6)&lt;&gt;"NON-COMPLIED",0,IF(COUNTIFS(INDEX($A$3:$AD$1941,0,$AG$4),INDEX($A1941:$AD1941,$AG$4),INDEX($A$3:$AD$1941,0,$AG$6),"NON-COMPLIED")=1,1,0)))))</f>
        <v>0</v>
      </c>
    </row>
    <row r="1942" customFormat="false" ht="15" hidden="false" customHeight="false" outlineLevel="0" collapsed="false">
      <c r="AH1942" s="21" t="n">
        <f aca="false">IF($AG$4=0,0,IF($AG$6=0,0,IF(INDEX($A1942:$AD1942,$AG$4)="",0,IF(INDEX($A1942:$AD1942,$AG$6)&lt;&gt;"NON-COMPLIED",0,IF(COUNTIFS(INDEX($A$3:$AD$1942,0,$AG$4),INDEX($A1942:$AD1942,$AG$4),INDEX($A$3:$AD$1942,0,$AG$6),"NON-COMPLIED")=1,1,0)))))</f>
        <v>0</v>
      </c>
    </row>
    <row r="1943" customFormat="false" ht="15" hidden="false" customHeight="false" outlineLevel="0" collapsed="false">
      <c r="AH1943" s="21" t="n">
        <f aca="false">IF($AG$4=0,0,IF($AG$6=0,0,IF(INDEX($A1943:$AD1943,$AG$4)="",0,IF(INDEX($A1943:$AD1943,$AG$6)&lt;&gt;"NON-COMPLIED",0,IF(COUNTIFS(INDEX($A$3:$AD$1943,0,$AG$4),INDEX($A1943:$AD1943,$AG$4),INDEX($A$3:$AD$1943,0,$AG$6),"NON-COMPLIED")=1,1,0)))))</f>
        <v>0</v>
      </c>
    </row>
    <row r="1944" customFormat="false" ht="15" hidden="false" customHeight="false" outlineLevel="0" collapsed="false">
      <c r="AH1944" s="21" t="n">
        <f aca="false">IF($AG$4=0,0,IF($AG$6=0,0,IF(INDEX($A1944:$AD1944,$AG$4)="",0,IF(INDEX($A1944:$AD1944,$AG$6)&lt;&gt;"NON-COMPLIED",0,IF(COUNTIFS(INDEX($A$3:$AD$1944,0,$AG$4),INDEX($A1944:$AD1944,$AG$4),INDEX($A$3:$AD$1944,0,$AG$6),"NON-COMPLIED")=1,1,0)))))</f>
        <v>0</v>
      </c>
    </row>
    <row r="1945" customFormat="false" ht="15" hidden="false" customHeight="false" outlineLevel="0" collapsed="false">
      <c r="AH1945" s="21" t="n">
        <f aca="false">IF($AG$4=0,0,IF($AG$6=0,0,IF(INDEX($A1945:$AD1945,$AG$4)="",0,IF(INDEX($A1945:$AD1945,$AG$6)&lt;&gt;"NON-COMPLIED",0,IF(COUNTIFS(INDEX($A$3:$AD$1945,0,$AG$4),INDEX($A1945:$AD1945,$AG$4),INDEX($A$3:$AD$1945,0,$AG$6),"NON-COMPLIED")=1,1,0)))))</f>
        <v>0</v>
      </c>
    </row>
    <row r="1946" customFormat="false" ht="15" hidden="false" customHeight="false" outlineLevel="0" collapsed="false">
      <c r="AH1946" s="21" t="n">
        <f aca="false">IF($AG$4=0,0,IF($AG$6=0,0,IF(INDEX($A1946:$AD1946,$AG$4)="",0,IF(INDEX($A1946:$AD1946,$AG$6)&lt;&gt;"NON-COMPLIED",0,IF(COUNTIFS(INDEX($A$3:$AD$1946,0,$AG$4),INDEX($A1946:$AD1946,$AG$4),INDEX($A$3:$AD$1946,0,$AG$6),"NON-COMPLIED")=1,1,0)))))</f>
        <v>0</v>
      </c>
    </row>
    <row r="1947" customFormat="false" ht="15" hidden="false" customHeight="false" outlineLevel="0" collapsed="false">
      <c r="AH1947" s="21" t="n">
        <f aca="false">IF($AG$4=0,0,IF($AG$6=0,0,IF(INDEX($A1947:$AD1947,$AG$4)="",0,IF(INDEX($A1947:$AD1947,$AG$6)&lt;&gt;"NON-COMPLIED",0,IF(COUNTIFS(INDEX($A$3:$AD$1947,0,$AG$4),INDEX($A1947:$AD1947,$AG$4),INDEX($A$3:$AD$1947,0,$AG$6),"NON-COMPLIED")=1,1,0)))))</f>
        <v>0</v>
      </c>
    </row>
    <row r="1948" customFormat="false" ht="15" hidden="false" customHeight="false" outlineLevel="0" collapsed="false">
      <c r="AH1948" s="21" t="n">
        <f aca="false">IF($AG$4=0,0,IF($AG$6=0,0,IF(INDEX($A1948:$AD1948,$AG$4)="",0,IF(INDEX($A1948:$AD1948,$AG$6)&lt;&gt;"NON-COMPLIED",0,IF(COUNTIFS(INDEX($A$3:$AD$1948,0,$AG$4),INDEX($A1948:$AD1948,$AG$4),INDEX($A$3:$AD$1948,0,$AG$6),"NON-COMPLIED")=1,1,0)))))</f>
        <v>0</v>
      </c>
    </row>
    <row r="1949" customFormat="false" ht="15" hidden="false" customHeight="false" outlineLevel="0" collapsed="false">
      <c r="AH1949" s="21" t="n">
        <f aca="false">IF($AG$4=0,0,IF($AG$6=0,0,IF(INDEX($A1949:$AD1949,$AG$4)="",0,IF(INDEX($A1949:$AD1949,$AG$6)&lt;&gt;"NON-COMPLIED",0,IF(COUNTIFS(INDEX($A$3:$AD$1949,0,$AG$4),INDEX($A1949:$AD1949,$AG$4),INDEX($A$3:$AD$1949,0,$AG$6),"NON-COMPLIED")=1,1,0)))))</f>
        <v>0</v>
      </c>
    </row>
    <row r="1950" customFormat="false" ht="15" hidden="false" customHeight="false" outlineLevel="0" collapsed="false">
      <c r="AH1950" s="21" t="n">
        <f aca="false">IF($AG$4=0,0,IF($AG$6=0,0,IF(INDEX($A1950:$AD1950,$AG$4)="",0,IF(INDEX($A1950:$AD1950,$AG$6)&lt;&gt;"NON-COMPLIED",0,IF(COUNTIFS(INDEX($A$3:$AD$1950,0,$AG$4),INDEX($A1950:$AD1950,$AG$4),INDEX($A$3:$AD$1950,0,$AG$6),"NON-COMPLIED")=1,1,0)))))</f>
        <v>0</v>
      </c>
    </row>
    <row r="1951" customFormat="false" ht="15" hidden="false" customHeight="false" outlineLevel="0" collapsed="false">
      <c r="AH1951" s="21" t="n">
        <f aca="false">IF($AG$4=0,0,IF($AG$6=0,0,IF(INDEX($A1951:$AD1951,$AG$4)="",0,IF(INDEX($A1951:$AD1951,$AG$6)&lt;&gt;"NON-COMPLIED",0,IF(COUNTIFS(INDEX($A$3:$AD$1951,0,$AG$4),INDEX($A1951:$AD1951,$AG$4),INDEX($A$3:$AD$1951,0,$AG$6),"NON-COMPLIED")=1,1,0)))))</f>
        <v>0</v>
      </c>
    </row>
    <row r="1952" customFormat="false" ht="15" hidden="false" customHeight="false" outlineLevel="0" collapsed="false">
      <c r="AH1952" s="21" t="n">
        <f aca="false">IF($AG$4=0,0,IF($AG$6=0,0,IF(INDEX($A1952:$AD1952,$AG$4)="",0,IF(INDEX($A1952:$AD1952,$AG$6)&lt;&gt;"NON-COMPLIED",0,IF(COUNTIFS(INDEX($A$3:$AD$1952,0,$AG$4),INDEX($A1952:$AD1952,$AG$4),INDEX($A$3:$AD$1952,0,$AG$6),"NON-COMPLIED")=1,1,0)))))</f>
        <v>0</v>
      </c>
    </row>
    <row r="1953" customFormat="false" ht="15" hidden="false" customHeight="false" outlineLevel="0" collapsed="false">
      <c r="AH1953" s="21" t="n">
        <f aca="false">IF($AG$4=0,0,IF($AG$6=0,0,IF(INDEX($A1953:$AD1953,$AG$4)="",0,IF(INDEX($A1953:$AD1953,$AG$6)&lt;&gt;"NON-COMPLIED",0,IF(COUNTIFS(INDEX($A$3:$AD$1953,0,$AG$4),INDEX($A1953:$AD1953,$AG$4),INDEX($A$3:$AD$1953,0,$AG$6),"NON-COMPLIED")=1,1,0)))))</f>
        <v>0</v>
      </c>
    </row>
    <row r="1954" customFormat="false" ht="15" hidden="false" customHeight="false" outlineLevel="0" collapsed="false">
      <c r="AH1954" s="21" t="n">
        <f aca="false">IF($AG$4=0,0,IF($AG$6=0,0,IF(INDEX($A1954:$AD1954,$AG$4)="",0,IF(INDEX($A1954:$AD1954,$AG$6)&lt;&gt;"NON-COMPLIED",0,IF(COUNTIFS(INDEX($A$3:$AD$1954,0,$AG$4),INDEX($A1954:$AD1954,$AG$4),INDEX($A$3:$AD$1954,0,$AG$6),"NON-COMPLIED")=1,1,0)))))</f>
        <v>0</v>
      </c>
    </row>
    <row r="1955" customFormat="false" ht="15" hidden="false" customHeight="false" outlineLevel="0" collapsed="false">
      <c r="AH1955" s="21" t="n">
        <f aca="false">IF($AG$4=0,0,IF($AG$6=0,0,IF(INDEX($A1955:$AD1955,$AG$4)="",0,IF(INDEX($A1955:$AD1955,$AG$6)&lt;&gt;"NON-COMPLIED",0,IF(COUNTIFS(INDEX($A$3:$AD$1955,0,$AG$4),INDEX($A1955:$AD1955,$AG$4),INDEX($A$3:$AD$1955,0,$AG$6),"NON-COMPLIED")=1,1,0)))))</f>
        <v>0</v>
      </c>
    </row>
    <row r="1956" customFormat="false" ht="15" hidden="false" customHeight="false" outlineLevel="0" collapsed="false">
      <c r="AH1956" s="21" t="n">
        <f aca="false">IF($AG$4=0,0,IF($AG$6=0,0,IF(INDEX($A1956:$AD1956,$AG$4)="",0,IF(INDEX($A1956:$AD1956,$AG$6)&lt;&gt;"NON-COMPLIED",0,IF(COUNTIFS(INDEX($A$3:$AD$1956,0,$AG$4),INDEX($A1956:$AD1956,$AG$4),INDEX($A$3:$AD$1956,0,$AG$6),"NON-COMPLIED")=1,1,0)))))</f>
        <v>0</v>
      </c>
    </row>
    <row r="1957" customFormat="false" ht="15" hidden="false" customHeight="false" outlineLevel="0" collapsed="false">
      <c r="AH1957" s="21" t="n">
        <f aca="false">IF($AG$4=0,0,IF($AG$6=0,0,IF(INDEX($A1957:$AD1957,$AG$4)="",0,IF(INDEX($A1957:$AD1957,$AG$6)&lt;&gt;"NON-COMPLIED",0,IF(COUNTIFS(INDEX($A$3:$AD$1957,0,$AG$4),INDEX($A1957:$AD1957,$AG$4),INDEX($A$3:$AD$1957,0,$AG$6),"NON-COMPLIED")=1,1,0)))))</f>
        <v>0</v>
      </c>
    </row>
    <row r="1958" customFormat="false" ht="15" hidden="false" customHeight="false" outlineLevel="0" collapsed="false">
      <c r="AH1958" s="21" t="n">
        <f aca="false">IF($AG$4=0,0,IF($AG$6=0,0,IF(INDEX($A1958:$AD1958,$AG$4)="",0,IF(INDEX($A1958:$AD1958,$AG$6)&lt;&gt;"NON-COMPLIED",0,IF(COUNTIFS(INDEX($A$3:$AD$1958,0,$AG$4),INDEX($A1958:$AD1958,$AG$4),INDEX($A$3:$AD$1958,0,$AG$6),"NON-COMPLIED")=1,1,0)))))</f>
        <v>0</v>
      </c>
    </row>
    <row r="1959" customFormat="false" ht="15" hidden="false" customHeight="false" outlineLevel="0" collapsed="false">
      <c r="AH1959" s="21" t="n">
        <f aca="false">IF($AG$4=0,0,IF($AG$6=0,0,IF(INDEX($A1959:$AD1959,$AG$4)="",0,IF(INDEX($A1959:$AD1959,$AG$6)&lt;&gt;"NON-COMPLIED",0,IF(COUNTIFS(INDEX($A$3:$AD$1959,0,$AG$4),INDEX($A1959:$AD1959,$AG$4),INDEX($A$3:$AD$1959,0,$AG$6),"NON-COMPLIED")=1,1,0)))))</f>
        <v>0</v>
      </c>
    </row>
    <row r="1960" customFormat="false" ht="15" hidden="false" customHeight="false" outlineLevel="0" collapsed="false">
      <c r="AH1960" s="21" t="n">
        <f aca="false">IF($AG$4=0,0,IF($AG$6=0,0,IF(INDEX($A1960:$AD1960,$AG$4)="",0,IF(INDEX($A1960:$AD1960,$AG$6)&lt;&gt;"NON-COMPLIED",0,IF(COUNTIFS(INDEX($A$3:$AD$1960,0,$AG$4),INDEX($A1960:$AD1960,$AG$4),INDEX($A$3:$AD$1960,0,$AG$6),"NON-COMPLIED")=1,1,0)))))</f>
        <v>0</v>
      </c>
    </row>
    <row r="1961" customFormat="false" ht="15" hidden="false" customHeight="false" outlineLevel="0" collapsed="false">
      <c r="AH1961" s="21" t="n">
        <f aca="false">IF($AG$4=0,0,IF($AG$6=0,0,IF(INDEX($A1961:$AD1961,$AG$4)="",0,IF(INDEX($A1961:$AD1961,$AG$6)&lt;&gt;"NON-COMPLIED",0,IF(COUNTIFS(INDEX($A$3:$AD$1961,0,$AG$4),INDEX($A1961:$AD1961,$AG$4),INDEX($A$3:$AD$1961,0,$AG$6),"NON-COMPLIED")=1,1,0)))))</f>
        <v>0</v>
      </c>
    </row>
    <row r="1962" customFormat="false" ht="15" hidden="false" customHeight="false" outlineLevel="0" collapsed="false">
      <c r="AH1962" s="21" t="n">
        <f aca="false">IF($AG$4=0,0,IF($AG$6=0,0,IF(INDEX($A1962:$AD1962,$AG$4)="",0,IF(INDEX($A1962:$AD1962,$AG$6)&lt;&gt;"NON-COMPLIED",0,IF(COUNTIFS(INDEX($A$3:$AD$1962,0,$AG$4),INDEX($A1962:$AD1962,$AG$4),INDEX($A$3:$AD$1962,0,$AG$6),"NON-COMPLIED")=1,1,0)))))</f>
        <v>0</v>
      </c>
    </row>
    <row r="1963" customFormat="false" ht="15" hidden="false" customHeight="false" outlineLevel="0" collapsed="false">
      <c r="AH1963" s="21" t="n">
        <f aca="false">IF($AG$4=0,0,IF($AG$6=0,0,IF(INDEX($A1963:$AD1963,$AG$4)="",0,IF(INDEX($A1963:$AD1963,$AG$6)&lt;&gt;"NON-COMPLIED",0,IF(COUNTIFS(INDEX($A$3:$AD$1963,0,$AG$4),INDEX($A1963:$AD1963,$AG$4),INDEX($A$3:$AD$1963,0,$AG$6),"NON-COMPLIED")=1,1,0)))))</f>
        <v>0</v>
      </c>
    </row>
    <row r="1964" customFormat="false" ht="15" hidden="false" customHeight="false" outlineLevel="0" collapsed="false">
      <c r="AH1964" s="21" t="n">
        <f aca="false">IF($AG$4=0,0,IF($AG$6=0,0,IF(INDEX($A1964:$AD1964,$AG$4)="",0,IF(INDEX($A1964:$AD1964,$AG$6)&lt;&gt;"NON-COMPLIED",0,IF(COUNTIFS(INDEX($A$3:$AD$1964,0,$AG$4),INDEX($A1964:$AD1964,$AG$4),INDEX($A$3:$AD$1964,0,$AG$6),"NON-COMPLIED")=1,1,0)))))</f>
        <v>0</v>
      </c>
    </row>
    <row r="1965" customFormat="false" ht="15" hidden="false" customHeight="false" outlineLevel="0" collapsed="false">
      <c r="AH1965" s="21" t="n">
        <f aca="false">IF($AG$4=0,0,IF($AG$6=0,0,IF(INDEX($A1965:$AD1965,$AG$4)="",0,IF(INDEX($A1965:$AD1965,$AG$6)&lt;&gt;"NON-COMPLIED",0,IF(COUNTIFS(INDEX($A$3:$AD$1965,0,$AG$4),INDEX($A1965:$AD1965,$AG$4),INDEX($A$3:$AD$1965,0,$AG$6),"NON-COMPLIED")=1,1,0)))))</f>
        <v>0</v>
      </c>
    </row>
    <row r="1966" customFormat="false" ht="15" hidden="false" customHeight="false" outlineLevel="0" collapsed="false">
      <c r="AH1966" s="21" t="n">
        <f aca="false">IF($AG$4=0,0,IF($AG$6=0,0,IF(INDEX($A1966:$AD1966,$AG$4)="",0,IF(INDEX($A1966:$AD1966,$AG$6)&lt;&gt;"NON-COMPLIED",0,IF(COUNTIFS(INDEX($A$3:$AD$1966,0,$AG$4),INDEX($A1966:$AD1966,$AG$4),INDEX($A$3:$AD$1966,0,$AG$6),"NON-COMPLIED")=1,1,0)))))</f>
        <v>0</v>
      </c>
    </row>
    <row r="1967" customFormat="false" ht="15" hidden="false" customHeight="false" outlineLevel="0" collapsed="false">
      <c r="AH1967" s="21" t="n">
        <f aca="false">IF($AG$4=0,0,IF($AG$6=0,0,IF(INDEX($A1967:$AD1967,$AG$4)="",0,IF(INDEX($A1967:$AD1967,$AG$6)&lt;&gt;"NON-COMPLIED",0,IF(COUNTIFS(INDEX($A$3:$AD$1967,0,$AG$4),INDEX($A1967:$AD1967,$AG$4),INDEX($A$3:$AD$1967,0,$AG$6),"NON-COMPLIED")=1,1,0)))))</f>
        <v>0</v>
      </c>
    </row>
    <row r="1968" customFormat="false" ht="15" hidden="false" customHeight="false" outlineLevel="0" collapsed="false">
      <c r="AH1968" s="21" t="n">
        <f aca="false">IF($AG$4=0,0,IF($AG$6=0,0,IF(INDEX($A1968:$AD1968,$AG$4)="",0,IF(INDEX($A1968:$AD1968,$AG$6)&lt;&gt;"NON-COMPLIED",0,IF(COUNTIFS(INDEX($A$3:$AD$1968,0,$AG$4),INDEX($A1968:$AD1968,$AG$4),INDEX($A$3:$AD$1968,0,$AG$6),"NON-COMPLIED")=1,1,0)))))</f>
        <v>0</v>
      </c>
    </row>
    <row r="1969" customFormat="false" ht="15" hidden="false" customHeight="false" outlineLevel="0" collapsed="false">
      <c r="AH1969" s="21" t="n">
        <f aca="false">IF($AG$4=0,0,IF($AG$6=0,0,IF(INDEX($A1969:$AD1969,$AG$4)="",0,IF(INDEX($A1969:$AD1969,$AG$6)&lt;&gt;"NON-COMPLIED",0,IF(COUNTIFS(INDEX($A$3:$AD$1969,0,$AG$4),INDEX($A1969:$AD1969,$AG$4),INDEX($A$3:$AD$1969,0,$AG$6),"NON-COMPLIED")=1,1,0)))))</f>
        <v>0</v>
      </c>
    </row>
    <row r="1970" customFormat="false" ht="15" hidden="false" customHeight="false" outlineLevel="0" collapsed="false">
      <c r="AH1970" s="21" t="n">
        <f aca="false">IF($AG$4=0,0,IF($AG$6=0,0,IF(INDEX($A1970:$AD1970,$AG$4)="",0,IF(INDEX($A1970:$AD1970,$AG$6)&lt;&gt;"NON-COMPLIED",0,IF(COUNTIFS(INDEX($A$3:$AD$1970,0,$AG$4),INDEX($A1970:$AD1970,$AG$4),INDEX($A$3:$AD$1970,0,$AG$6),"NON-COMPLIED")=1,1,0)))))</f>
        <v>0</v>
      </c>
    </row>
    <row r="1971" customFormat="false" ht="15" hidden="false" customHeight="false" outlineLevel="0" collapsed="false">
      <c r="AH1971" s="21" t="n">
        <f aca="false">IF($AG$4=0,0,IF($AG$6=0,0,IF(INDEX($A1971:$AD1971,$AG$4)="",0,IF(INDEX($A1971:$AD1971,$AG$6)&lt;&gt;"NON-COMPLIED",0,IF(COUNTIFS(INDEX($A$3:$AD$1971,0,$AG$4),INDEX($A1971:$AD1971,$AG$4),INDEX($A$3:$AD$1971,0,$AG$6),"NON-COMPLIED")=1,1,0)))))</f>
        <v>0</v>
      </c>
    </row>
    <row r="1972" customFormat="false" ht="15" hidden="false" customHeight="false" outlineLevel="0" collapsed="false">
      <c r="AH1972" s="21" t="n">
        <f aca="false">IF($AG$4=0,0,IF($AG$6=0,0,IF(INDEX($A1972:$AD1972,$AG$4)="",0,IF(INDEX($A1972:$AD1972,$AG$6)&lt;&gt;"NON-COMPLIED",0,IF(COUNTIFS(INDEX($A$3:$AD$1972,0,$AG$4),INDEX($A1972:$AD1972,$AG$4),INDEX($A$3:$AD$1972,0,$AG$6),"NON-COMPLIED")=1,1,0)))))</f>
        <v>0</v>
      </c>
    </row>
    <row r="1973" customFormat="false" ht="15" hidden="false" customHeight="false" outlineLevel="0" collapsed="false">
      <c r="AH1973" s="21" t="n">
        <f aca="false">IF($AG$4=0,0,IF($AG$6=0,0,IF(INDEX($A1973:$AD1973,$AG$4)="",0,IF(INDEX($A1973:$AD1973,$AG$6)&lt;&gt;"NON-COMPLIED",0,IF(COUNTIFS(INDEX($A$3:$AD$1973,0,$AG$4),INDEX($A1973:$AD1973,$AG$4),INDEX($A$3:$AD$1973,0,$AG$6),"NON-COMPLIED")=1,1,0)))))</f>
        <v>0</v>
      </c>
    </row>
    <row r="1974" customFormat="false" ht="15" hidden="false" customHeight="false" outlineLevel="0" collapsed="false">
      <c r="AH1974" s="21" t="n">
        <f aca="false">IF($AG$4=0,0,IF($AG$6=0,0,IF(INDEX($A1974:$AD1974,$AG$4)="",0,IF(INDEX($A1974:$AD1974,$AG$6)&lt;&gt;"NON-COMPLIED",0,IF(COUNTIFS(INDEX($A$3:$AD$1974,0,$AG$4),INDEX($A1974:$AD1974,$AG$4),INDEX($A$3:$AD$1974,0,$AG$6),"NON-COMPLIED")=1,1,0)))))</f>
        <v>0</v>
      </c>
    </row>
    <row r="1975" customFormat="false" ht="15" hidden="false" customHeight="false" outlineLevel="0" collapsed="false">
      <c r="AH1975" s="21" t="n">
        <f aca="false">IF($AG$4=0,0,IF($AG$6=0,0,IF(INDEX($A1975:$AD1975,$AG$4)="",0,IF(INDEX($A1975:$AD1975,$AG$6)&lt;&gt;"NON-COMPLIED",0,IF(COUNTIFS(INDEX($A$3:$AD$1975,0,$AG$4),INDEX($A1975:$AD1975,$AG$4),INDEX($A$3:$AD$1975,0,$AG$6),"NON-COMPLIED")=1,1,0)))))</f>
        <v>0</v>
      </c>
    </row>
    <row r="1976" customFormat="false" ht="15" hidden="false" customHeight="false" outlineLevel="0" collapsed="false">
      <c r="AH1976" s="21" t="n">
        <f aca="false">IF($AG$4=0,0,IF($AG$6=0,0,IF(INDEX($A1976:$AD1976,$AG$4)="",0,IF(INDEX($A1976:$AD1976,$AG$6)&lt;&gt;"NON-COMPLIED",0,IF(COUNTIFS(INDEX($A$3:$AD$1976,0,$AG$4),INDEX($A1976:$AD1976,$AG$4),INDEX($A$3:$AD$1976,0,$AG$6),"NON-COMPLIED")=1,1,0)))))</f>
        <v>0</v>
      </c>
    </row>
    <row r="1977" customFormat="false" ht="15" hidden="false" customHeight="false" outlineLevel="0" collapsed="false">
      <c r="AH1977" s="21" t="n">
        <f aca="false">IF($AG$4=0,0,IF($AG$6=0,0,IF(INDEX($A1977:$AD1977,$AG$4)="",0,IF(INDEX($A1977:$AD1977,$AG$6)&lt;&gt;"NON-COMPLIED",0,IF(COUNTIFS(INDEX($A$3:$AD$1977,0,$AG$4),INDEX($A1977:$AD1977,$AG$4),INDEX($A$3:$AD$1977,0,$AG$6),"NON-COMPLIED")=1,1,0)))))</f>
        <v>0</v>
      </c>
    </row>
    <row r="1978" customFormat="false" ht="15" hidden="false" customHeight="false" outlineLevel="0" collapsed="false">
      <c r="AH1978" s="21" t="n">
        <f aca="false">IF($AG$4=0,0,IF($AG$6=0,0,IF(INDEX($A1978:$AD1978,$AG$4)="",0,IF(INDEX($A1978:$AD1978,$AG$6)&lt;&gt;"NON-COMPLIED",0,IF(COUNTIFS(INDEX($A$3:$AD$1978,0,$AG$4),INDEX($A1978:$AD1978,$AG$4),INDEX($A$3:$AD$1978,0,$AG$6),"NON-COMPLIED")=1,1,0)))))</f>
        <v>0</v>
      </c>
    </row>
    <row r="1979" customFormat="false" ht="15" hidden="false" customHeight="false" outlineLevel="0" collapsed="false">
      <c r="AH1979" s="21" t="n">
        <f aca="false">IF($AG$4=0,0,IF($AG$6=0,0,IF(INDEX($A1979:$AD1979,$AG$4)="",0,IF(INDEX($A1979:$AD1979,$AG$6)&lt;&gt;"NON-COMPLIED",0,IF(COUNTIFS(INDEX($A$3:$AD$1979,0,$AG$4),INDEX($A1979:$AD1979,$AG$4),INDEX($A$3:$AD$1979,0,$AG$6),"NON-COMPLIED")=1,1,0)))))</f>
        <v>0</v>
      </c>
    </row>
    <row r="1980" customFormat="false" ht="15" hidden="false" customHeight="false" outlineLevel="0" collapsed="false">
      <c r="AH1980" s="21" t="n">
        <f aca="false">IF($AG$4=0,0,IF($AG$6=0,0,IF(INDEX($A1980:$AD1980,$AG$4)="",0,IF(INDEX($A1980:$AD1980,$AG$6)&lt;&gt;"NON-COMPLIED",0,IF(COUNTIFS(INDEX($A$3:$AD$1980,0,$AG$4),INDEX($A1980:$AD1980,$AG$4),INDEX($A$3:$AD$1980,0,$AG$6),"NON-COMPLIED")=1,1,0)))))</f>
        <v>0</v>
      </c>
    </row>
    <row r="1981" customFormat="false" ht="15" hidden="false" customHeight="false" outlineLevel="0" collapsed="false">
      <c r="AH1981" s="21" t="n">
        <f aca="false">IF($AG$4=0,0,IF($AG$6=0,0,IF(INDEX($A1981:$AD1981,$AG$4)="",0,IF(INDEX($A1981:$AD1981,$AG$6)&lt;&gt;"NON-COMPLIED",0,IF(COUNTIFS(INDEX($A$3:$AD$1981,0,$AG$4),INDEX($A1981:$AD1981,$AG$4),INDEX($A$3:$AD$1981,0,$AG$6),"NON-COMPLIED")=1,1,0)))))</f>
        <v>0</v>
      </c>
    </row>
    <row r="1982" customFormat="false" ht="15" hidden="false" customHeight="false" outlineLevel="0" collapsed="false">
      <c r="AH1982" s="21" t="n">
        <f aca="false">IF($AG$4=0,0,IF($AG$6=0,0,IF(INDEX($A1982:$AD1982,$AG$4)="",0,IF(INDEX($A1982:$AD1982,$AG$6)&lt;&gt;"NON-COMPLIED",0,IF(COUNTIFS(INDEX($A$3:$AD$1982,0,$AG$4),INDEX($A1982:$AD1982,$AG$4),INDEX($A$3:$AD$1982,0,$AG$6),"NON-COMPLIED")=1,1,0)))))</f>
        <v>0</v>
      </c>
    </row>
    <row r="1983" customFormat="false" ht="15" hidden="false" customHeight="false" outlineLevel="0" collapsed="false">
      <c r="AH1983" s="21" t="n">
        <f aca="false">IF($AG$4=0,0,IF($AG$6=0,0,IF(INDEX($A1983:$AD1983,$AG$4)="",0,IF(INDEX($A1983:$AD1983,$AG$6)&lt;&gt;"NON-COMPLIED",0,IF(COUNTIFS(INDEX($A$3:$AD$1983,0,$AG$4),INDEX($A1983:$AD1983,$AG$4),INDEX($A$3:$AD$1983,0,$AG$6),"NON-COMPLIED")=1,1,0)))))</f>
        <v>0</v>
      </c>
    </row>
    <row r="1984" customFormat="false" ht="15" hidden="false" customHeight="false" outlineLevel="0" collapsed="false">
      <c r="AH1984" s="21" t="n">
        <f aca="false">IF($AG$4=0,0,IF($AG$6=0,0,IF(INDEX($A1984:$AD1984,$AG$4)="",0,IF(INDEX($A1984:$AD1984,$AG$6)&lt;&gt;"NON-COMPLIED",0,IF(COUNTIFS(INDEX($A$3:$AD$1984,0,$AG$4),INDEX($A1984:$AD1984,$AG$4),INDEX($A$3:$AD$1984,0,$AG$6),"NON-COMPLIED")=1,1,0)))))</f>
        <v>0</v>
      </c>
    </row>
    <row r="1985" customFormat="false" ht="15" hidden="false" customHeight="false" outlineLevel="0" collapsed="false">
      <c r="AH1985" s="21" t="n">
        <f aca="false">IF($AG$4=0,0,IF($AG$6=0,0,IF(INDEX($A1985:$AD1985,$AG$4)="",0,IF(INDEX($A1985:$AD1985,$AG$6)&lt;&gt;"NON-COMPLIED",0,IF(COUNTIFS(INDEX($A$3:$AD$1985,0,$AG$4),INDEX($A1985:$AD1985,$AG$4),INDEX($A$3:$AD$1985,0,$AG$6),"NON-COMPLIED")=1,1,0)))))</f>
        <v>0</v>
      </c>
    </row>
    <row r="1986" customFormat="false" ht="15" hidden="false" customHeight="false" outlineLevel="0" collapsed="false">
      <c r="AH1986" s="21" t="n">
        <f aca="false">IF($AG$4=0,0,IF($AG$6=0,0,IF(INDEX($A1986:$AD1986,$AG$4)="",0,IF(INDEX($A1986:$AD1986,$AG$6)&lt;&gt;"NON-COMPLIED",0,IF(COUNTIFS(INDEX($A$3:$AD$1986,0,$AG$4),INDEX($A1986:$AD1986,$AG$4),INDEX($A$3:$AD$1986,0,$AG$6),"NON-COMPLIED")=1,1,0)))))</f>
        <v>0</v>
      </c>
    </row>
    <row r="1987" customFormat="false" ht="15" hidden="false" customHeight="false" outlineLevel="0" collapsed="false">
      <c r="AH1987" s="21" t="n">
        <f aca="false">IF($AG$4=0,0,IF($AG$6=0,0,IF(INDEX($A1987:$AD1987,$AG$4)="",0,IF(INDEX($A1987:$AD1987,$AG$6)&lt;&gt;"NON-COMPLIED",0,IF(COUNTIFS(INDEX($A$3:$AD$1987,0,$AG$4),INDEX($A1987:$AD1987,$AG$4),INDEX($A$3:$AD$1987,0,$AG$6),"NON-COMPLIED")=1,1,0)))))</f>
        <v>0</v>
      </c>
    </row>
    <row r="1988" customFormat="false" ht="15" hidden="false" customHeight="false" outlineLevel="0" collapsed="false">
      <c r="AH1988" s="21" t="n">
        <f aca="false">IF($AG$4=0,0,IF($AG$6=0,0,IF(INDEX($A1988:$AD1988,$AG$4)="",0,IF(INDEX($A1988:$AD1988,$AG$6)&lt;&gt;"NON-COMPLIED",0,IF(COUNTIFS(INDEX($A$3:$AD$1988,0,$AG$4),INDEX($A1988:$AD1988,$AG$4),INDEX($A$3:$AD$1988,0,$AG$6),"NON-COMPLIED")=1,1,0)))))</f>
        <v>0</v>
      </c>
    </row>
    <row r="1989" customFormat="false" ht="15" hidden="false" customHeight="false" outlineLevel="0" collapsed="false">
      <c r="AH1989" s="21" t="n">
        <f aca="false">IF($AG$4=0,0,IF($AG$6=0,0,IF(INDEX($A1989:$AD1989,$AG$4)="",0,IF(INDEX($A1989:$AD1989,$AG$6)&lt;&gt;"NON-COMPLIED",0,IF(COUNTIFS(INDEX($A$3:$AD$1989,0,$AG$4),INDEX($A1989:$AD1989,$AG$4),INDEX($A$3:$AD$1989,0,$AG$6),"NON-COMPLIED")=1,1,0)))))</f>
        <v>0</v>
      </c>
    </row>
    <row r="1990" customFormat="false" ht="15" hidden="false" customHeight="false" outlineLevel="0" collapsed="false">
      <c r="AH1990" s="21" t="n">
        <f aca="false">IF($AG$4=0,0,IF($AG$6=0,0,IF(INDEX($A1990:$AD1990,$AG$4)="",0,IF(INDEX($A1990:$AD1990,$AG$6)&lt;&gt;"NON-COMPLIED",0,IF(COUNTIFS(INDEX($A$3:$AD$1990,0,$AG$4),INDEX($A1990:$AD1990,$AG$4),INDEX($A$3:$AD$1990,0,$AG$6),"NON-COMPLIED")=1,1,0)))))</f>
        <v>0</v>
      </c>
    </row>
    <row r="1991" customFormat="false" ht="15" hidden="false" customHeight="false" outlineLevel="0" collapsed="false">
      <c r="AH1991" s="21" t="n">
        <f aca="false">IF($AG$4=0,0,IF($AG$6=0,0,IF(INDEX($A1991:$AD1991,$AG$4)="",0,IF(INDEX($A1991:$AD1991,$AG$6)&lt;&gt;"NON-COMPLIED",0,IF(COUNTIFS(INDEX($A$3:$AD$1991,0,$AG$4),INDEX($A1991:$AD1991,$AG$4),INDEX($A$3:$AD$1991,0,$AG$6),"NON-COMPLIED")=1,1,0)))))</f>
        <v>0</v>
      </c>
    </row>
    <row r="1992" customFormat="false" ht="15" hidden="false" customHeight="false" outlineLevel="0" collapsed="false">
      <c r="AH1992" s="21" t="n">
        <f aca="false">IF($AG$4=0,0,IF($AG$6=0,0,IF(INDEX($A1992:$AD1992,$AG$4)="",0,IF(INDEX($A1992:$AD1992,$AG$6)&lt;&gt;"NON-COMPLIED",0,IF(COUNTIFS(INDEX($A$3:$AD$1992,0,$AG$4),INDEX($A1992:$AD1992,$AG$4),INDEX($A$3:$AD$1992,0,$AG$6),"NON-COMPLIED")=1,1,0)))))</f>
        <v>0</v>
      </c>
    </row>
    <row r="1993" customFormat="false" ht="15" hidden="false" customHeight="false" outlineLevel="0" collapsed="false">
      <c r="AH1993" s="21" t="n">
        <f aca="false">IF($AG$4=0,0,IF($AG$6=0,0,IF(INDEX($A1993:$AD1993,$AG$4)="",0,IF(INDEX($A1993:$AD1993,$AG$6)&lt;&gt;"NON-COMPLIED",0,IF(COUNTIFS(INDEX($A$3:$AD$1993,0,$AG$4),INDEX($A1993:$AD1993,$AG$4),INDEX($A$3:$AD$1993,0,$AG$6),"NON-COMPLIED")=1,1,0)))))</f>
        <v>0</v>
      </c>
    </row>
    <row r="1994" customFormat="false" ht="15" hidden="false" customHeight="false" outlineLevel="0" collapsed="false">
      <c r="AH1994" s="21" t="n">
        <f aca="false">IF($AG$4=0,0,IF($AG$6=0,0,IF(INDEX($A1994:$AD1994,$AG$4)="",0,IF(INDEX($A1994:$AD1994,$AG$6)&lt;&gt;"NON-COMPLIED",0,IF(COUNTIFS(INDEX($A$3:$AD$1994,0,$AG$4),INDEX($A1994:$AD1994,$AG$4),INDEX($A$3:$AD$1994,0,$AG$6),"NON-COMPLIED")=1,1,0)))))</f>
        <v>0</v>
      </c>
    </row>
    <row r="1995" customFormat="false" ht="15" hidden="false" customHeight="false" outlineLevel="0" collapsed="false">
      <c r="AH1995" s="21" t="n">
        <f aca="false">IF($AG$4=0,0,IF($AG$6=0,0,IF(INDEX($A1995:$AD1995,$AG$4)="",0,IF(INDEX($A1995:$AD1995,$AG$6)&lt;&gt;"NON-COMPLIED",0,IF(COUNTIFS(INDEX($A$3:$AD$1995,0,$AG$4),INDEX($A1995:$AD1995,$AG$4),INDEX($A$3:$AD$1995,0,$AG$6),"NON-COMPLIED")=1,1,0)))))</f>
        <v>0</v>
      </c>
    </row>
    <row r="1996" customFormat="false" ht="15" hidden="false" customHeight="false" outlineLevel="0" collapsed="false">
      <c r="AH1996" s="21" t="n">
        <f aca="false">IF($AG$4=0,0,IF($AG$6=0,0,IF(INDEX($A1996:$AD1996,$AG$4)="",0,IF(INDEX($A1996:$AD1996,$AG$6)&lt;&gt;"NON-COMPLIED",0,IF(COUNTIFS(INDEX($A$3:$AD$1996,0,$AG$4),INDEX($A1996:$AD1996,$AG$4),INDEX($A$3:$AD$1996,0,$AG$6),"NON-COMPLIED")=1,1,0)))))</f>
        <v>0</v>
      </c>
    </row>
    <row r="1997" customFormat="false" ht="15" hidden="false" customHeight="false" outlineLevel="0" collapsed="false">
      <c r="AH1997" s="21" t="n">
        <f aca="false">IF($AG$4=0,0,IF($AG$6=0,0,IF(INDEX($A1997:$AD1997,$AG$4)="",0,IF(INDEX($A1997:$AD1997,$AG$6)&lt;&gt;"NON-COMPLIED",0,IF(COUNTIFS(INDEX($A$3:$AD$1997,0,$AG$4),INDEX($A1997:$AD1997,$AG$4),INDEX($A$3:$AD$1997,0,$AG$6),"NON-COMPLIED")=1,1,0)))))</f>
        <v>0</v>
      </c>
    </row>
    <row r="1998" customFormat="false" ht="15" hidden="false" customHeight="false" outlineLevel="0" collapsed="false">
      <c r="AH1998" s="21" t="n">
        <f aca="false">IF($AG$4=0,0,IF($AG$6=0,0,IF(INDEX($A1998:$AD1998,$AG$4)="",0,IF(INDEX($A1998:$AD1998,$AG$6)&lt;&gt;"NON-COMPLIED",0,IF(COUNTIFS(INDEX($A$3:$AD$1998,0,$AG$4),INDEX($A1998:$AD1998,$AG$4),INDEX($A$3:$AD$1998,0,$AG$6),"NON-COMPLIED")=1,1,0)))))</f>
        <v>0</v>
      </c>
    </row>
    <row r="1999" customFormat="false" ht="15" hidden="false" customHeight="false" outlineLevel="0" collapsed="false">
      <c r="AH1999" s="21" t="n">
        <f aca="false">IF($AG$4=0,0,IF($AG$6=0,0,IF(INDEX($A1999:$AD1999,$AG$4)="",0,IF(INDEX($A1999:$AD1999,$AG$6)&lt;&gt;"NON-COMPLIED",0,IF(COUNTIFS(INDEX($A$3:$AD$1999,0,$AG$4),INDEX($A1999:$AD1999,$AG$4),INDEX($A$3:$AD$1999,0,$AG$6),"NON-COMPLIED")=1,1,0)))))</f>
        <v>0</v>
      </c>
    </row>
    <row r="2000" customFormat="false" ht="15" hidden="false" customHeight="false" outlineLevel="0" collapsed="false">
      <c r="AH2000" s="21" t="n">
        <f aca="false">IF($AG$4=0,0,IF($AG$6=0,0,IF(INDEX($A2000:$AD2000,$AG$4)="",0,IF(INDEX($A2000:$AD2000,$AG$6)&lt;&gt;"NON-COMPLIED",0,IF(COUNTIFS(INDEX($A$3:$AD$2000,0,$AG$4),INDEX($A2000:$AD2000,$AG$4),INDEX($A$3:$AD$2000,0,$AG$6),"NON-COMPLIED")=1,1,0)))))</f>
        <v>0</v>
      </c>
    </row>
    <row r="2001" customFormat="false" ht="15" hidden="false" customHeight="false" outlineLevel="0" collapsed="false">
      <c r="AH2001" s="21" t="n">
        <f aca="false">IF($AG$4=0,0,IF($AG$6=0,0,IF(INDEX($A2001:$AD2001,$AG$4)="",0,IF(INDEX($A2001:$AD2001,$AG$6)&lt;&gt;"NON-COMPLIED",0,IF(COUNTIFS(INDEX($A$3:$AD$2001,0,$AG$4),INDEX($A2001:$AD2001,$AG$4),INDEX($A$3:$AD$2001,0,$AG$6),"NON-COMPLIED")=1,1,0)))))</f>
        <v>0</v>
      </c>
    </row>
    <row r="2002" customFormat="false" ht="15" hidden="false" customHeight="false" outlineLevel="0" collapsed="false">
      <c r="AH2002" s="21" t="n">
        <f aca="false">IF($AG$4=0,0,IF($AG$6=0,0,IF(INDEX($A2002:$AD2002,$AG$4)="",0,IF(INDEX($A2002:$AD2002,$AG$6)&lt;&gt;"NON-COMPLIED",0,IF(COUNTIFS(INDEX($A$3:$AD$2002,0,$AG$4),INDEX($A2002:$AD2002,$AG$4),INDEX($A$3:$AD$2002,0,$AG$6),"NON-COMPLIED")=1,1,0)))))</f>
        <v>0</v>
      </c>
    </row>
    <row r="2004" customFormat="false" ht="15" hidden="false" customHeight="false" outlineLevel="0" collapsed="false">
      <c r="A2004" s="6" t="s">
        <v>283</v>
      </c>
      <c r="B2004" s="7"/>
      <c r="C2004" s="7"/>
    </row>
    <row r="2005" customFormat="false" ht="15" hidden="false" customHeight="false" outlineLevel="0" collapsed="false">
      <c r="A2005" s="27" t="s">
        <v>58</v>
      </c>
      <c r="B2005" s="18" t="s">
        <v>60</v>
      </c>
      <c r="C2005" s="18" t="s">
        <v>284</v>
      </c>
      <c r="D2005" s="18" t="s">
        <v>285</v>
      </c>
    </row>
    <row r="2006" customFormat="false" ht="15" hidden="false" customHeight="false" outlineLevel="0" collapsed="false">
      <c r="A2006" s="26" t="str">
        <f aca="false">'OCTMS Risk Map'!A4</f>
        <v>A1</v>
      </c>
      <c r="B2006" s="28" t="n">
        <f aca="false">'OCTMS Risk Map'!C4</f>
        <v>3</v>
      </c>
      <c r="C2006" s="21" t="n">
        <f aca="false">IF(OR($AG$5=0,$AG$6=0),0,IF(COUNTIFS(INDEX($A$3:$AD$2002,0,$AG$5),A2006,INDEX($A$3:$AD$2002,0,$AG$6),"NON-COMPLIED")&gt;0,1,0))</f>
        <v>0</v>
      </c>
      <c r="D2006" s="21" t="n">
        <f aca="false">C2006*B2006</f>
        <v>0</v>
      </c>
    </row>
    <row r="2007" customFormat="false" ht="15" hidden="false" customHeight="false" outlineLevel="0" collapsed="false">
      <c r="A2007" s="26" t="str">
        <f aca="false">'OCTMS Risk Map'!A5</f>
        <v>A3</v>
      </c>
      <c r="B2007" s="28" t="n">
        <f aca="false">'OCTMS Risk Map'!C5</f>
        <v>3</v>
      </c>
      <c r="C2007" s="21" t="n">
        <f aca="false">IF(OR($AG$5=0,$AG$6=0),0,IF(COUNTIFS(INDEX($A$3:$AD$2002,0,$AG$5),A2007,INDEX($A$3:$AD$2002,0,$AG$6),"NON-COMPLIED")&gt;0,1,0))</f>
        <v>0</v>
      </c>
      <c r="D2007" s="21" t="n">
        <f aca="false">C2007*B2007</f>
        <v>0</v>
      </c>
    </row>
    <row r="2008" customFormat="false" ht="15" hidden="false" customHeight="false" outlineLevel="0" collapsed="false">
      <c r="A2008" s="26" t="str">
        <f aca="false">'OCTMS Risk Map'!A6</f>
        <v>A4</v>
      </c>
      <c r="B2008" s="28" t="n">
        <f aca="false">'OCTMS Risk Map'!C6</f>
        <v>3</v>
      </c>
      <c r="C2008" s="21" t="n">
        <f aca="false">IF(OR($AG$5=0,$AG$6=0),0,IF(COUNTIFS(INDEX($A$3:$AD$2002,0,$AG$5),A2008,INDEX($A$3:$AD$2002,0,$AG$6),"NON-COMPLIED")&gt;0,1,0))</f>
        <v>0</v>
      </c>
      <c r="D2008" s="21" t="n">
        <f aca="false">C2008*B2008</f>
        <v>0</v>
      </c>
    </row>
    <row r="2009" customFormat="false" ht="15" hidden="false" customHeight="false" outlineLevel="0" collapsed="false">
      <c r="A2009" s="26" t="str">
        <f aca="false">'OCTMS Risk Map'!A7</f>
        <v>A5</v>
      </c>
      <c r="B2009" s="28" t="n">
        <f aca="false">'OCTMS Risk Map'!C7</f>
        <v>1</v>
      </c>
      <c r="C2009" s="21" t="n">
        <f aca="false">IF(OR($AG$5=0,$AG$6=0),0,IF(COUNTIFS(INDEX($A$3:$AD$2002,0,$AG$5),A2009,INDEX($A$3:$AD$2002,0,$AG$6),"NON-COMPLIED")&gt;0,1,0))</f>
        <v>0</v>
      </c>
      <c r="D2009" s="21" t="n">
        <f aca="false">C2009*B2009</f>
        <v>0</v>
      </c>
    </row>
    <row r="2010" customFormat="false" ht="15" hidden="false" customHeight="false" outlineLevel="0" collapsed="false">
      <c r="A2010" s="26" t="str">
        <f aca="false">'OCTMS Risk Map'!A8</f>
        <v>A6</v>
      </c>
      <c r="B2010" s="28" t="n">
        <f aca="false">'OCTMS Risk Map'!C8</f>
        <v>3</v>
      </c>
      <c r="C2010" s="21" t="n">
        <f aca="false">IF(OR($AG$5=0,$AG$6=0),0,IF(COUNTIFS(INDEX($A$3:$AD$2002,0,$AG$5),A2010,INDEX($A$3:$AD$2002,0,$AG$6),"NON-COMPLIED")&gt;0,1,0))</f>
        <v>0</v>
      </c>
      <c r="D2010" s="21" t="n">
        <f aca="false">C2010*B2010</f>
        <v>0</v>
      </c>
    </row>
    <row r="2011" customFormat="false" ht="15" hidden="false" customHeight="false" outlineLevel="0" collapsed="false">
      <c r="A2011" s="26" t="str">
        <f aca="false">'OCTMS Risk Map'!A9</f>
        <v>A7</v>
      </c>
      <c r="B2011" s="28" t="n">
        <f aca="false">'OCTMS Risk Map'!C9</f>
        <v>3</v>
      </c>
      <c r="C2011" s="21" t="n">
        <f aca="false">IF(OR($AG$5=0,$AG$6=0),0,IF(COUNTIFS(INDEX($A$3:$AD$2002,0,$AG$5),A2011,INDEX($A$3:$AD$2002,0,$AG$6),"NON-COMPLIED")&gt;0,1,0))</f>
        <v>0</v>
      </c>
      <c r="D2011" s="21" t="n">
        <f aca="false">C2011*B2011</f>
        <v>0</v>
      </c>
    </row>
    <row r="2012" customFormat="false" ht="15" hidden="false" customHeight="false" outlineLevel="0" collapsed="false">
      <c r="A2012" s="26" t="str">
        <f aca="false">'OCTMS Risk Map'!A10</f>
        <v>A9</v>
      </c>
      <c r="B2012" s="28" t="n">
        <f aca="false">'OCTMS Risk Map'!C10</f>
        <v>3</v>
      </c>
      <c r="C2012" s="21" t="n">
        <f aca="false">IF(OR($AG$5=0,$AG$6=0),0,IF(COUNTIFS(INDEX($A$3:$AD$2002,0,$AG$5),A2012,INDEX($A$3:$AD$2002,0,$AG$6),"NON-COMPLIED")&gt;0,1,0))</f>
        <v>0</v>
      </c>
      <c r="D2012" s="21" t="n">
        <f aca="false">C2012*B2012</f>
        <v>0</v>
      </c>
    </row>
    <row r="2013" customFormat="false" ht="15" hidden="false" customHeight="false" outlineLevel="0" collapsed="false">
      <c r="A2013" s="26" t="str">
        <f aca="false">'OCTMS Risk Map'!A11</f>
        <v>A10</v>
      </c>
      <c r="B2013" s="28" t="n">
        <f aca="false">'OCTMS Risk Map'!C11</f>
        <v>3</v>
      </c>
      <c r="C2013" s="21" t="n">
        <f aca="false">IF(OR($AG$5=0,$AG$6=0),0,IF(COUNTIFS(INDEX($A$3:$AD$2002,0,$AG$5),A2013,INDEX($A$3:$AD$2002,0,$AG$6),"NON-COMPLIED")&gt;0,1,0))</f>
        <v>0</v>
      </c>
      <c r="D2013" s="21" t="n">
        <f aca="false">C2013*B2013</f>
        <v>0</v>
      </c>
    </row>
    <row r="2014" customFormat="false" ht="15" hidden="false" customHeight="false" outlineLevel="0" collapsed="false">
      <c r="A2014" s="26" t="str">
        <f aca="false">'OCTMS Risk Map'!A12</f>
        <v>A11</v>
      </c>
      <c r="B2014" s="28" t="n">
        <f aca="false">'OCTMS Risk Map'!C12</f>
        <v>3</v>
      </c>
      <c r="C2014" s="21" t="n">
        <f aca="false">IF(OR($AG$5=0,$AG$6=0),0,IF(COUNTIFS(INDEX($A$3:$AD$2002,0,$AG$5),A2014,INDEX($A$3:$AD$2002,0,$AG$6),"NON-COMPLIED")&gt;0,1,0))</f>
        <v>0</v>
      </c>
      <c r="D2014" s="21" t="n">
        <f aca="false">C2014*B2014</f>
        <v>0</v>
      </c>
    </row>
    <row r="2015" customFormat="false" ht="15" hidden="false" customHeight="false" outlineLevel="0" collapsed="false">
      <c r="A2015" s="26" t="str">
        <f aca="false">'OCTMS Risk Map'!A13</f>
        <v>A12</v>
      </c>
      <c r="B2015" s="28" t="n">
        <f aca="false">'OCTMS Risk Map'!C13</f>
        <v>3</v>
      </c>
      <c r="C2015" s="21" t="n">
        <f aca="false">IF(OR($AG$5=0,$AG$6=0),0,IF(COUNTIFS(INDEX($A$3:$AD$2002,0,$AG$5),A2015,INDEX($A$3:$AD$2002,0,$AG$6),"NON-COMPLIED")&gt;0,1,0))</f>
        <v>0</v>
      </c>
      <c r="D2015" s="21" t="n">
        <f aca="false">C2015*B2015</f>
        <v>0</v>
      </c>
    </row>
    <row r="2016" customFormat="false" ht="15" hidden="false" customHeight="false" outlineLevel="0" collapsed="false">
      <c r="A2016" s="26" t="str">
        <f aca="false">'OCTMS Risk Map'!A14</f>
        <v>A13</v>
      </c>
      <c r="B2016" s="28" t="n">
        <f aca="false">'OCTMS Risk Map'!C14</f>
        <v>3</v>
      </c>
      <c r="C2016" s="21" t="n">
        <f aca="false">IF(OR($AG$5=0,$AG$6=0),0,IF(COUNTIFS(INDEX($A$3:$AD$2002,0,$AG$5),A2016,INDEX($A$3:$AD$2002,0,$AG$6),"NON-COMPLIED")&gt;0,1,0))</f>
        <v>0</v>
      </c>
      <c r="D2016" s="21" t="n">
        <f aca="false">C2016*B2016</f>
        <v>0</v>
      </c>
    </row>
    <row r="2017" customFormat="false" ht="15" hidden="false" customHeight="false" outlineLevel="0" collapsed="false">
      <c r="A2017" s="26" t="str">
        <f aca="false">'OCTMS Risk Map'!A15</f>
        <v>A14</v>
      </c>
      <c r="B2017" s="28" t="n">
        <f aca="false">'OCTMS Risk Map'!C15</f>
        <v>3</v>
      </c>
      <c r="C2017" s="21" t="n">
        <f aca="false">IF(OR($AG$5=0,$AG$6=0),0,IF(COUNTIFS(INDEX($A$3:$AD$2002,0,$AG$5),A2017,INDEX($A$3:$AD$2002,0,$AG$6),"NON-COMPLIED")&gt;0,1,0))</f>
        <v>0</v>
      </c>
      <c r="D2017" s="21" t="n">
        <f aca="false">C2017*B2017</f>
        <v>0</v>
      </c>
    </row>
    <row r="2018" customFormat="false" ht="15" hidden="false" customHeight="false" outlineLevel="0" collapsed="false">
      <c r="A2018" s="26" t="str">
        <f aca="false">'OCTMS Risk Map'!A16</f>
        <v>A15</v>
      </c>
      <c r="B2018" s="28" t="n">
        <f aca="false">'OCTMS Risk Map'!C16</f>
        <v>3</v>
      </c>
      <c r="C2018" s="21" t="n">
        <f aca="false">IF(OR($AG$5=0,$AG$6=0),0,IF(COUNTIFS(INDEX($A$3:$AD$2002,0,$AG$5),A2018,INDEX($A$3:$AD$2002,0,$AG$6),"NON-COMPLIED")&gt;0,1,0))</f>
        <v>0</v>
      </c>
      <c r="D2018" s="21" t="n">
        <f aca="false">C2018*B2018</f>
        <v>0</v>
      </c>
    </row>
    <row r="2019" customFormat="false" ht="15" hidden="false" customHeight="false" outlineLevel="0" collapsed="false">
      <c r="A2019" s="26" t="str">
        <f aca="false">'OCTMS Risk Map'!A17</f>
        <v>B2</v>
      </c>
      <c r="B2019" s="28" t="n">
        <f aca="false">'OCTMS Risk Map'!C17</f>
        <v>3</v>
      </c>
      <c r="C2019" s="21" t="n">
        <f aca="false">IF(OR($AG$5=0,$AG$6=0),0,IF(COUNTIFS(INDEX($A$3:$AD$2002,0,$AG$5),A2019,INDEX($A$3:$AD$2002,0,$AG$6),"NON-COMPLIED")&gt;0,1,0))</f>
        <v>0</v>
      </c>
      <c r="D2019" s="21" t="n">
        <f aca="false">C2019*B2019</f>
        <v>0</v>
      </c>
    </row>
    <row r="2020" customFormat="false" ht="15" hidden="false" customHeight="false" outlineLevel="0" collapsed="false">
      <c r="A2020" s="26" t="str">
        <f aca="false">'OCTMS Risk Map'!A18</f>
        <v>B3</v>
      </c>
      <c r="B2020" s="28" t="n">
        <f aca="false">'OCTMS Risk Map'!C18</f>
        <v>3</v>
      </c>
      <c r="C2020" s="21" t="n">
        <f aca="false">IF(OR($AG$5=0,$AG$6=0),0,IF(COUNTIFS(INDEX($A$3:$AD$2002,0,$AG$5),A2020,INDEX($A$3:$AD$2002,0,$AG$6),"NON-COMPLIED")&gt;0,1,0))</f>
        <v>0</v>
      </c>
      <c r="D2020" s="21" t="n">
        <f aca="false">C2020*B2020</f>
        <v>0</v>
      </c>
    </row>
    <row r="2021" customFormat="false" ht="15" hidden="false" customHeight="false" outlineLevel="0" collapsed="false">
      <c r="A2021" s="26" t="str">
        <f aca="false">'OCTMS Risk Map'!A19</f>
        <v>B4</v>
      </c>
      <c r="B2021" s="28" t="n">
        <f aca="false">'OCTMS Risk Map'!C19</f>
        <v>2</v>
      </c>
      <c r="C2021" s="21" t="n">
        <f aca="false">IF(OR($AG$5=0,$AG$6=0),0,IF(COUNTIFS(INDEX($A$3:$AD$2002,0,$AG$5),A2021,INDEX($A$3:$AD$2002,0,$AG$6),"NON-COMPLIED")&gt;0,1,0))</f>
        <v>0</v>
      </c>
      <c r="D2021" s="21" t="n">
        <f aca="false">C2021*B2021</f>
        <v>0</v>
      </c>
    </row>
    <row r="2022" customFormat="false" ht="15" hidden="false" customHeight="false" outlineLevel="0" collapsed="false">
      <c r="A2022" s="26" t="str">
        <f aca="false">'OCTMS Risk Map'!A20</f>
        <v>B5</v>
      </c>
      <c r="B2022" s="28" t="n">
        <f aca="false">'OCTMS Risk Map'!C20</f>
        <v>3</v>
      </c>
      <c r="C2022" s="21" t="n">
        <f aca="false">IF(OR($AG$5=0,$AG$6=0),0,IF(COUNTIFS(INDEX($A$3:$AD$2002,0,$AG$5),A2022,INDEX($A$3:$AD$2002,0,$AG$6),"NON-COMPLIED")&gt;0,1,0))</f>
        <v>0</v>
      </c>
      <c r="D2022" s="21" t="n">
        <f aca="false">C2022*B2022</f>
        <v>0</v>
      </c>
    </row>
    <row r="2023" customFormat="false" ht="15" hidden="false" customHeight="false" outlineLevel="0" collapsed="false">
      <c r="A2023" s="26" t="str">
        <f aca="false">'OCTMS Risk Map'!A21</f>
        <v>B6</v>
      </c>
      <c r="B2023" s="28" t="n">
        <f aca="false">'OCTMS Risk Map'!C21</f>
        <v>2</v>
      </c>
      <c r="C2023" s="21" t="n">
        <f aca="false">IF(OR($AG$5=0,$AG$6=0),0,IF(COUNTIFS(INDEX($A$3:$AD$2002,0,$AG$5),A2023,INDEX($A$3:$AD$2002,0,$AG$6),"NON-COMPLIED")&gt;0,1,0))</f>
        <v>0</v>
      </c>
      <c r="D2023" s="21" t="n">
        <f aca="false">C2023*B2023</f>
        <v>0</v>
      </c>
    </row>
    <row r="2024" customFormat="false" ht="15" hidden="false" customHeight="false" outlineLevel="0" collapsed="false">
      <c r="A2024" s="26" t="str">
        <f aca="false">'OCTMS Risk Map'!A22</f>
        <v>B7</v>
      </c>
      <c r="B2024" s="28" t="n">
        <f aca="false">'OCTMS Risk Map'!C22</f>
        <v>3</v>
      </c>
      <c r="C2024" s="21" t="n">
        <f aca="false">IF(OR($AG$5=0,$AG$6=0),0,IF(COUNTIFS(INDEX($A$3:$AD$2002,0,$AG$5),A2024,INDEX($A$3:$AD$2002,0,$AG$6),"NON-COMPLIED")&gt;0,1,0))</f>
        <v>0</v>
      </c>
      <c r="D2024" s="21" t="n">
        <f aca="false">C2024*B2024</f>
        <v>0</v>
      </c>
    </row>
    <row r="2025" customFormat="false" ht="15" hidden="false" customHeight="false" outlineLevel="0" collapsed="false">
      <c r="A2025" s="26" t="str">
        <f aca="false">'OCTMS Risk Map'!A23</f>
        <v>C2</v>
      </c>
      <c r="B2025" s="28" t="n">
        <f aca="false">'OCTMS Risk Map'!C23</f>
        <v>3</v>
      </c>
      <c r="C2025" s="21" t="n">
        <f aca="false">IF(OR($AG$5=0,$AG$6=0),0,IF(COUNTIFS(INDEX($A$3:$AD$2002,0,$AG$5),A2025,INDEX($A$3:$AD$2002,0,$AG$6),"NON-COMPLIED")&gt;0,1,0))</f>
        <v>0</v>
      </c>
      <c r="D2025" s="21" t="n">
        <f aca="false">C2025*B2025</f>
        <v>0</v>
      </c>
    </row>
    <row r="2026" customFormat="false" ht="15" hidden="false" customHeight="false" outlineLevel="0" collapsed="false">
      <c r="A2026" s="26" t="str">
        <f aca="false">'OCTMS Risk Map'!A24</f>
        <v>C3</v>
      </c>
      <c r="B2026" s="28" t="n">
        <f aca="false">'OCTMS Risk Map'!C24</f>
        <v>3</v>
      </c>
      <c r="C2026" s="21" t="n">
        <f aca="false">IF(OR($AG$5=0,$AG$6=0),0,IF(COUNTIFS(INDEX($A$3:$AD$2002,0,$AG$5),A2026,INDEX($A$3:$AD$2002,0,$AG$6),"NON-COMPLIED")&gt;0,1,0))</f>
        <v>0</v>
      </c>
      <c r="D2026" s="21" t="n">
        <f aca="false">C2026*B2026</f>
        <v>0</v>
      </c>
    </row>
    <row r="2027" customFormat="false" ht="15" hidden="false" customHeight="false" outlineLevel="0" collapsed="false">
      <c r="A2027" s="26" t="str">
        <f aca="false">'OCTMS Risk Map'!A25</f>
        <v>C4</v>
      </c>
      <c r="B2027" s="28" t="n">
        <f aca="false">'OCTMS Risk Map'!C25</f>
        <v>3</v>
      </c>
      <c r="C2027" s="21" t="n">
        <f aca="false">IF(OR($AG$5=0,$AG$6=0),0,IF(COUNTIFS(INDEX($A$3:$AD$2002,0,$AG$5),A2027,INDEX($A$3:$AD$2002,0,$AG$6),"NON-COMPLIED")&gt;0,1,0))</f>
        <v>0</v>
      </c>
      <c r="D2027" s="21" t="n">
        <f aca="false">C2027*B2027</f>
        <v>0</v>
      </c>
    </row>
    <row r="2028" customFormat="false" ht="15" hidden="false" customHeight="false" outlineLevel="0" collapsed="false">
      <c r="A2028" s="26" t="str">
        <f aca="false">'OCTMS Risk Map'!A26</f>
        <v>C5</v>
      </c>
      <c r="B2028" s="28" t="n">
        <f aca="false">'OCTMS Risk Map'!C26</f>
        <v>2</v>
      </c>
      <c r="C2028" s="21" t="n">
        <f aca="false">IF(OR($AG$5=0,$AG$6=0),0,IF(COUNTIFS(INDEX($A$3:$AD$2002,0,$AG$5),A2028,INDEX($A$3:$AD$2002,0,$AG$6),"NON-COMPLIED")&gt;0,1,0))</f>
        <v>0</v>
      </c>
      <c r="D2028" s="21" t="n">
        <f aca="false">C2028*B2028</f>
        <v>0</v>
      </c>
    </row>
    <row r="2029" customFormat="false" ht="15" hidden="false" customHeight="false" outlineLevel="0" collapsed="false">
      <c r="A2029" s="26" t="str">
        <f aca="false">'OCTMS Risk Map'!A27</f>
        <v>C6</v>
      </c>
      <c r="B2029" s="28" t="n">
        <f aca="false">'OCTMS Risk Map'!C27</f>
        <v>2</v>
      </c>
      <c r="C2029" s="21" t="n">
        <f aca="false">IF(OR($AG$5=0,$AG$6=0),0,IF(COUNTIFS(INDEX($A$3:$AD$2002,0,$AG$5),A2029,INDEX($A$3:$AD$2002,0,$AG$6),"NON-COMPLIED")&gt;0,1,0))</f>
        <v>0</v>
      </c>
      <c r="D2029" s="21" t="n">
        <f aca="false">C2029*B2029</f>
        <v>0</v>
      </c>
    </row>
    <row r="2030" customFormat="false" ht="15" hidden="false" customHeight="false" outlineLevel="0" collapsed="false">
      <c r="A2030" s="26" t="str">
        <f aca="false">'OCTMS Risk Map'!A28</f>
        <v>D1</v>
      </c>
      <c r="B2030" s="28" t="n">
        <f aca="false">'OCTMS Risk Map'!C28</f>
        <v>3</v>
      </c>
      <c r="C2030" s="21" t="n">
        <f aca="false">IF(OR($AG$5=0,$AG$6=0),0,IF(COUNTIFS(INDEX($A$3:$AD$2002,0,$AG$5),A2030,INDEX($A$3:$AD$2002,0,$AG$6),"NON-COMPLIED")&gt;0,1,0))</f>
        <v>0</v>
      </c>
      <c r="D2030" s="21" t="n">
        <f aca="false">C2030*B2030</f>
        <v>0</v>
      </c>
    </row>
    <row r="2031" customFormat="false" ht="15" hidden="false" customHeight="false" outlineLevel="0" collapsed="false">
      <c r="A2031" s="26" t="str">
        <f aca="false">'OCTMS Risk Map'!A29</f>
        <v>D2</v>
      </c>
      <c r="B2031" s="28" t="n">
        <f aca="false">'OCTMS Risk Map'!C29</f>
        <v>3</v>
      </c>
      <c r="C2031" s="21" t="n">
        <f aca="false">IF(OR($AG$5=0,$AG$6=0),0,IF(COUNTIFS(INDEX($A$3:$AD$2002,0,$AG$5),A2031,INDEX($A$3:$AD$2002,0,$AG$6),"NON-COMPLIED")&gt;0,1,0))</f>
        <v>0</v>
      </c>
      <c r="D2031" s="21" t="n">
        <f aca="false">C2031*B2031</f>
        <v>0</v>
      </c>
    </row>
    <row r="2032" customFormat="false" ht="15" hidden="false" customHeight="false" outlineLevel="0" collapsed="false">
      <c r="A2032" s="26" t="str">
        <f aca="false">'OCTMS Risk Map'!A30</f>
        <v>E1</v>
      </c>
      <c r="B2032" s="28" t="n">
        <f aca="false">'OCTMS Risk Map'!C30</f>
        <v>3</v>
      </c>
      <c r="C2032" s="21" t="n">
        <f aca="false">IF(OR($AG$5=0,$AG$6=0),0,IF(COUNTIFS(INDEX($A$3:$AD$2002,0,$AG$5),A2032,INDEX($A$3:$AD$2002,0,$AG$6),"NON-COMPLIED")&gt;0,1,0))</f>
        <v>0</v>
      </c>
      <c r="D2032" s="21" t="n">
        <f aca="false">C2032*B2032</f>
        <v>0</v>
      </c>
    </row>
    <row r="2033" customFormat="false" ht="15" hidden="false" customHeight="false" outlineLevel="0" collapsed="false">
      <c r="A2033" s="26" t="str">
        <f aca="false">'OCTMS Risk Map'!A31</f>
        <v>E2</v>
      </c>
      <c r="B2033" s="28" t="n">
        <f aca="false">'OCTMS Risk Map'!C31</f>
        <v>3</v>
      </c>
      <c r="C2033" s="21" t="n">
        <f aca="false">IF(OR($AG$5=0,$AG$6=0),0,IF(COUNTIFS(INDEX($A$3:$AD$2002,0,$AG$5),A2033,INDEX($A$3:$AD$2002,0,$AG$6),"NON-COMPLIED")&gt;0,1,0))</f>
        <v>0</v>
      </c>
      <c r="D2033" s="21" t="n">
        <f aca="false">C2033*B2033</f>
        <v>0</v>
      </c>
    </row>
    <row r="2034" customFormat="false" ht="15" hidden="false" customHeight="false" outlineLevel="0" collapsed="false">
      <c r="A2034" s="26" t="str">
        <f aca="false">'OCTMS Risk Map'!A32</f>
        <v>F1</v>
      </c>
      <c r="B2034" s="28" t="n">
        <f aca="false">'OCTMS Risk Map'!C32</f>
        <v>3</v>
      </c>
      <c r="C2034" s="21" t="n">
        <f aca="false">IF(OR($AG$5=0,$AG$6=0),0,IF(COUNTIFS(INDEX($A$3:$AD$2002,0,$AG$5),A2034,INDEX($A$3:$AD$2002,0,$AG$6),"NON-COMPLIED")&gt;0,1,0))</f>
        <v>0</v>
      </c>
      <c r="D2034" s="21" t="n">
        <f aca="false">C2034*B2034</f>
        <v>0</v>
      </c>
    </row>
    <row r="2035" customFormat="false" ht="15" hidden="false" customHeight="false" outlineLevel="0" collapsed="false">
      <c r="A2035" s="26" t="str">
        <f aca="false">'OCTMS Risk Map'!A33</f>
        <v>F2</v>
      </c>
      <c r="B2035" s="28" t="n">
        <f aca="false">'OCTMS Risk Map'!C33</f>
        <v>1</v>
      </c>
      <c r="C2035" s="21" t="n">
        <f aca="false">IF(OR($AG$5=0,$AG$6=0),0,IF(COUNTIFS(INDEX($A$3:$AD$2002,0,$AG$5),A2035,INDEX($A$3:$AD$2002,0,$AG$6),"NON-COMPLIED")&gt;0,1,0))</f>
        <v>0</v>
      </c>
      <c r="D2035" s="21" t="n">
        <f aca="false">C2035*B2035</f>
        <v>0</v>
      </c>
    </row>
    <row r="2036" customFormat="false" ht="15" hidden="false" customHeight="false" outlineLevel="0" collapsed="false">
      <c r="A2036" s="26" t="str">
        <f aca="false">'OCTMS Risk Map'!A34</f>
        <v>F3</v>
      </c>
      <c r="B2036" s="28" t="n">
        <f aca="false">'OCTMS Risk Map'!C34</f>
        <v>3</v>
      </c>
      <c r="C2036" s="21" t="n">
        <f aca="false">IF(OR($AG$5=0,$AG$6=0),0,IF(COUNTIFS(INDEX($A$3:$AD$2002,0,$AG$5),A2036,INDEX($A$3:$AD$2002,0,$AG$6),"NON-COMPLIED")&gt;0,1,0))</f>
        <v>0</v>
      </c>
      <c r="D2036" s="21" t="n">
        <f aca="false">C2036*B2036</f>
        <v>0</v>
      </c>
    </row>
    <row r="2037" customFormat="false" ht="15" hidden="false" customHeight="false" outlineLevel="0" collapsed="false">
      <c r="A2037" s="26" t="str">
        <f aca="false">'OCTMS Risk Map'!A35</f>
        <v>F4</v>
      </c>
      <c r="B2037" s="28" t="n">
        <f aca="false">'OCTMS Risk Map'!C35</f>
        <v>3</v>
      </c>
      <c r="C2037" s="21" t="n">
        <f aca="false">IF(OR($AG$5=0,$AG$6=0),0,IF(COUNTIFS(INDEX($A$3:$AD$2002,0,$AG$5),A2037,INDEX($A$3:$AD$2002,0,$AG$6),"NON-COMPLIED")&gt;0,1,0))</f>
        <v>0</v>
      </c>
      <c r="D2037" s="21" t="n">
        <f aca="false">C2037*B2037</f>
        <v>0</v>
      </c>
    </row>
    <row r="2038" customFormat="false" ht="15" hidden="false" customHeight="false" outlineLevel="0" collapsed="false">
      <c r="A2038" s="26" t="str">
        <f aca="false">'OCTMS Risk Map'!A36</f>
        <v>F5</v>
      </c>
      <c r="B2038" s="28" t="n">
        <f aca="false">'OCTMS Risk Map'!C36</f>
        <v>2</v>
      </c>
      <c r="C2038" s="21" t="n">
        <f aca="false">IF(OR($AG$5=0,$AG$6=0),0,IF(COUNTIFS(INDEX($A$3:$AD$2002,0,$AG$5),A2038,INDEX($A$3:$AD$2002,0,$AG$6),"NON-COMPLIED")&gt;0,1,0))</f>
        <v>0</v>
      </c>
      <c r="D2038" s="21" t="n">
        <f aca="false">C2038*B2038</f>
        <v>0</v>
      </c>
    </row>
    <row r="2039" customFormat="false" ht="15" hidden="false" customHeight="false" outlineLevel="0" collapsed="false">
      <c r="A2039" s="26" t="str">
        <f aca="false">'OCTMS Risk Map'!A37</f>
        <v>F6</v>
      </c>
      <c r="B2039" s="28" t="n">
        <f aca="false">'OCTMS Risk Map'!C37</f>
        <v>2</v>
      </c>
      <c r="C2039" s="21" t="n">
        <f aca="false">IF(OR($AG$5=0,$AG$6=0),0,IF(COUNTIFS(INDEX($A$3:$AD$2002,0,$AG$5),A2039,INDEX($A$3:$AD$2002,0,$AG$6),"NON-COMPLIED")&gt;0,1,0))</f>
        <v>0</v>
      </c>
      <c r="D2039" s="21" t="n">
        <f aca="false">C2039*B2039</f>
        <v>0</v>
      </c>
    </row>
    <row r="2040" customFormat="false" ht="15" hidden="false" customHeight="false" outlineLevel="0" collapsed="false">
      <c r="A2040" s="26" t="str">
        <f aca="false">'OCTMS Risk Map'!A38</f>
        <v>F7</v>
      </c>
      <c r="B2040" s="28" t="n">
        <f aca="false">'OCTMS Risk Map'!C38</f>
        <v>3</v>
      </c>
      <c r="C2040" s="21" t="n">
        <f aca="false">IF(OR($AG$5=0,$AG$6=0),0,IF(COUNTIFS(INDEX($A$3:$AD$2002,0,$AG$5),A2040,INDEX($A$3:$AD$2002,0,$AG$6),"NON-COMPLIED")&gt;0,1,0))</f>
        <v>0</v>
      </c>
      <c r="D2040" s="21" t="n">
        <f aca="false">C2040*B2040</f>
        <v>0</v>
      </c>
    </row>
    <row r="2041" customFormat="false" ht="15" hidden="false" customHeight="false" outlineLevel="0" collapsed="false">
      <c r="A2041" s="26" t="str">
        <f aca="false">'OCTMS Risk Map'!A39</f>
        <v>F8</v>
      </c>
      <c r="B2041" s="28" t="n">
        <f aca="false">'OCTMS Risk Map'!C39</f>
        <v>3</v>
      </c>
      <c r="C2041" s="21" t="n">
        <f aca="false">IF(OR($AG$5=0,$AG$6=0),0,IF(COUNTIFS(INDEX($A$3:$AD$2002,0,$AG$5),A2041,INDEX($A$3:$AD$2002,0,$AG$6),"NON-COMPLIED")&gt;0,1,0))</f>
        <v>0</v>
      </c>
      <c r="D2041" s="21" t="n">
        <f aca="false">C2041*B2041</f>
        <v>0</v>
      </c>
    </row>
    <row r="2042" customFormat="false" ht="15" hidden="false" customHeight="false" outlineLevel="0" collapsed="false">
      <c r="A2042" s="26" t="str">
        <f aca="false">'OCTMS Risk Map'!A40</f>
        <v>F9</v>
      </c>
      <c r="B2042" s="28" t="n">
        <f aca="false">'OCTMS Risk Map'!C40</f>
        <v>3</v>
      </c>
      <c r="C2042" s="21" t="n">
        <f aca="false">IF(OR($AG$5=0,$AG$6=0),0,IF(COUNTIFS(INDEX($A$3:$AD$2002,0,$AG$5),A2042,INDEX($A$3:$AD$2002,0,$AG$6),"NON-COMPLIED")&gt;0,1,0))</f>
        <v>0</v>
      </c>
      <c r="D2042" s="21" t="n">
        <f aca="false">C2042*B2042</f>
        <v>0</v>
      </c>
    </row>
    <row r="2043" customFormat="false" ht="15" hidden="false" customHeight="false" outlineLevel="0" collapsed="false">
      <c r="A2043" s="26" t="str">
        <f aca="false">'OCTMS Risk Map'!A41</f>
        <v>G1</v>
      </c>
      <c r="B2043" s="28" t="n">
        <f aca="false">'OCTMS Risk Map'!C41</f>
        <v>1</v>
      </c>
      <c r="C2043" s="21" t="n">
        <f aca="false">IF(OR($AG$5=0,$AG$6=0),0,IF(COUNTIFS(INDEX($A$3:$AD$2002,0,$AG$5),A2043,INDEX($A$3:$AD$2002,0,$AG$6),"NON-COMPLIED")&gt;0,1,0))</f>
        <v>0</v>
      </c>
      <c r="D2043" s="21" t="n">
        <f aca="false">C2043*B2043</f>
        <v>0</v>
      </c>
    </row>
    <row r="2044" customFormat="false" ht="15" hidden="false" customHeight="false" outlineLevel="0" collapsed="false">
      <c r="A2044" s="26" t="str">
        <f aca="false">'OCTMS Risk Map'!A42</f>
        <v>G2</v>
      </c>
      <c r="B2044" s="28" t="n">
        <f aca="false">'OCTMS Risk Map'!C42</f>
        <v>2</v>
      </c>
      <c r="C2044" s="21" t="n">
        <f aca="false">IF(OR($AG$5=0,$AG$6=0),0,IF(COUNTIFS(INDEX($A$3:$AD$2002,0,$AG$5),A2044,INDEX($A$3:$AD$2002,0,$AG$6),"NON-COMPLIED")&gt;0,1,0))</f>
        <v>0</v>
      </c>
      <c r="D2044" s="21" t="n">
        <f aca="false">C2044*B2044</f>
        <v>0</v>
      </c>
    </row>
    <row r="2045" customFormat="false" ht="15" hidden="false" customHeight="false" outlineLevel="0" collapsed="false">
      <c r="A2045" s="26" t="str">
        <f aca="false">'OCTMS Risk Map'!A43</f>
        <v>H1</v>
      </c>
      <c r="B2045" s="28" t="n">
        <f aca="false">'OCTMS Risk Map'!C43</f>
        <v>1</v>
      </c>
      <c r="C2045" s="21" t="n">
        <f aca="false">IF(OR($AG$5=0,$AG$6=0),0,IF(COUNTIFS(INDEX($A$3:$AD$2002,0,$AG$5),A2045,INDEX($A$3:$AD$2002,0,$AG$6),"NON-COMPLIED")&gt;0,1,0))</f>
        <v>0</v>
      </c>
      <c r="D2045" s="21" t="n">
        <f aca="false">C2045*B2045</f>
        <v>0</v>
      </c>
    </row>
    <row r="2046" customFormat="false" ht="15" hidden="false" customHeight="false" outlineLevel="0" collapsed="false">
      <c r="A2046" s="26" t="str">
        <f aca="false">'OCTMS Risk Map'!A44</f>
        <v>I1</v>
      </c>
      <c r="B2046" s="28" t="n">
        <f aca="false">'OCTMS Risk Map'!C44</f>
        <v>3</v>
      </c>
      <c r="C2046" s="21" t="n">
        <f aca="false">IF(OR($AG$5=0,$AG$6=0),0,IF(COUNTIFS(INDEX($A$3:$AD$2002,0,$AG$5),A2046,INDEX($A$3:$AD$2002,0,$AG$6),"NON-COMPLIED")&gt;0,1,0))</f>
        <v>0</v>
      </c>
      <c r="D2046" s="21" t="n">
        <f aca="false">C2046*B2046</f>
        <v>0</v>
      </c>
    </row>
    <row r="2047" customFormat="false" ht="15" hidden="false" customHeight="false" outlineLevel="0" collapsed="false">
      <c r="A2047" s="26" t="str">
        <f aca="false">'OCTMS Risk Map'!A45</f>
        <v>I2</v>
      </c>
      <c r="B2047" s="28" t="n">
        <f aca="false">'OCTMS Risk Map'!C45</f>
        <v>3</v>
      </c>
      <c r="C2047" s="21" t="n">
        <f aca="false">IF(OR($AG$5=0,$AG$6=0),0,IF(COUNTIFS(INDEX($A$3:$AD$2002,0,$AG$5),A2047,INDEX($A$3:$AD$2002,0,$AG$6),"NON-COMPLIED")&gt;0,1,0))</f>
        <v>0</v>
      </c>
      <c r="D2047" s="21" t="n">
        <f aca="false">C2047*B2047</f>
        <v>0</v>
      </c>
    </row>
    <row r="2048" customFormat="false" ht="15" hidden="false" customHeight="false" outlineLevel="0" collapsed="false">
      <c r="A2048" s="26" t="str">
        <f aca="false">'OCTMS Risk Map'!A46</f>
        <v>K1</v>
      </c>
      <c r="B2048" s="28" t="n">
        <f aca="false">'OCTMS Risk Map'!C46</f>
        <v>3</v>
      </c>
      <c r="C2048" s="21" t="n">
        <f aca="false">IF(OR($AG$5=0,$AG$6=0),0,IF(COUNTIFS(INDEX($A$3:$AD$2002,0,$AG$5),A2048,INDEX($A$3:$AD$2002,0,$AG$6),"NON-COMPLIED")&gt;0,1,0))</f>
        <v>0</v>
      </c>
      <c r="D2048" s="21" t="n">
        <f aca="false">C2048*B2048</f>
        <v>0</v>
      </c>
    </row>
    <row r="2049" customFormat="false" ht="15" hidden="false" customHeight="false" outlineLevel="0" collapsed="false">
      <c r="A2049" s="26" t="str">
        <f aca="false">'OCTMS Risk Map'!A47</f>
        <v>K2</v>
      </c>
      <c r="B2049" s="28" t="n">
        <f aca="false">'OCTMS Risk Map'!C47</f>
        <v>3</v>
      </c>
      <c r="C2049" s="21" t="n">
        <f aca="false">IF(OR($AG$5=0,$AG$6=0),0,IF(COUNTIFS(INDEX($A$3:$AD$2002,0,$AG$5),A2049,INDEX($A$3:$AD$2002,0,$AG$6),"NON-COMPLIED")&gt;0,1,0))</f>
        <v>0</v>
      </c>
      <c r="D2049" s="21" t="n">
        <f aca="false">C2049*B2049</f>
        <v>0</v>
      </c>
    </row>
    <row r="2050" customFormat="false" ht="15" hidden="false" customHeight="false" outlineLevel="0" collapsed="false">
      <c r="A2050" s="26" t="str">
        <f aca="false">'OCTMS Risk Map'!A48</f>
        <v>K3</v>
      </c>
      <c r="B2050" s="28" t="n">
        <f aca="false">'OCTMS Risk Map'!C48</f>
        <v>3</v>
      </c>
      <c r="C2050" s="21" t="n">
        <f aca="false">IF(OR($AG$5=0,$AG$6=0),0,IF(COUNTIFS(INDEX($A$3:$AD$2002,0,$AG$5),A2050,INDEX($A$3:$AD$2002,0,$AG$6),"NON-COMPLIED")&gt;0,1,0))</f>
        <v>0</v>
      </c>
      <c r="D2050" s="21" t="n">
        <f aca="false">C2050*B2050</f>
        <v>0</v>
      </c>
    </row>
    <row r="2051" customFormat="false" ht="15" hidden="false" customHeight="false" outlineLevel="0" collapsed="false">
      <c r="A2051" s="26" t="str">
        <f aca="false">'OCTMS Risk Map'!A49</f>
        <v>K4</v>
      </c>
      <c r="B2051" s="28" t="n">
        <f aca="false">'OCTMS Risk Map'!C49</f>
        <v>2</v>
      </c>
      <c r="C2051" s="21" t="n">
        <f aca="false">IF(OR($AG$5=0,$AG$6=0),0,IF(COUNTIFS(INDEX($A$3:$AD$2002,0,$AG$5),A2051,INDEX($A$3:$AD$2002,0,$AG$6),"NON-COMPLIED")&gt;0,1,0))</f>
        <v>0</v>
      </c>
      <c r="D2051" s="21" t="n">
        <f aca="false">C2051*B2051</f>
        <v>0</v>
      </c>
    </row>
    <row r="2052" customFormat="false" ht="15" hidden="false" customHeight="false" outlineLevel="0" collapsed="false">
      <c r="A2052" s="26" t="str">
        <f aca="false">'OCTMS Risk Map'!A50</f>
        <v>K5</v>
      </c>
      <c r="B2052" s="28" t="n">
        <f aca="false">'OCTMS Risk Map'!C50</f>
        <v>2</v>
      </c>
      <c r="C2052" s="21" t="n">
        <f aca="false">IF(OR($AG$5=0,$AG$6=0),0,IF(COUNTIFS(INDEX($A$3:$AD$2002,0,$AG$5),A2052,INDEX($A$3:$AD$2002,0,$AG$6),"NON-COMPLIED")&gt;0,1,0))</f>
        <v>0</v>
      </c>
      <c r="D2052" s="21" t="n">
        <f aca="false">C2052*B2052</f>
        <v>0</v>
      </c>
    </row>
    <row r="2053" customFormat="false" ht="15" hidden="false" customHeight="false" outlineLevel="0" collapsed="false">
      <c r="A2053" s="26" t="str">
        <f aca="false">'OCTMS Risk Map'!A51</f>
        <v>K6</v>
      </c>
      <c r="B2053" s="28" t="n">
        <f aca="false">'OCTMS Risk Map'!C51</f>
        <v>3</v>
      </c>
      <c r="C2053" s="21" t="n">
        <f aca="false">IF(OR($AG$5=0,$AG$6=0),0,IF(COUNTIFS(INDEX($A$3:$AD$2002,0,$AG$5),A2053,INDEX($A$3:$AD$2002,0,$AG$6),"NON-COMPLIED")&gt;0,1,0))</f>
        <v>0</v>
      </c>
      <c r="D2053" s="21" t="n">
        <f aca="false">C2053*B2053</f>
        <v>0</v>
      </c>
    </row>
    <row r="2054" customFormat="false" ht="15" hidden="false" customHeight="false" outlineLevel="0" collapsed="false">
      <c r="A2054" s="26" t="str">
        <f aca="false">'OCTMS Risk Map'!A52</f>
        <v>K7</v>
      </c>
      <c r="B2054" s="28" t="n">
        <f aca="false">'OCTMS Risk Map'!C52</f>
        <v>3</v>
      </c>
      <c r="C2054" s="21" t="n">
        <f aca="false">IF(OR($AG$5=0,$AG$6=0),0,IF(COUNTIFS(INDEX($A$3:$AD$2002,0,$AG$5),A2054,INDEX($A$3:$AD$2002,0,$AG$6),"NON-COMPLIED")&gt;0,1,0))</f>
        <v>0</v>
      </c>
      <c r="D2054" s="21" t="n">
        <f aca="false">C2054*B2054</f>
        <v>0</v>
      </c>
    </row>
    <row r="2055" customFormat="false" ht="15" hidden="false" customHeight="false" outlineLevel="0" collapsed="false">
      <c r="A2055" s="26" t="str">
        <f aca="false">'OCTMS Risk Map'!A53</f>
        <v>K8</v>
      </c>
      <c r="B2055" s="28" t="n">
        <f aca="false">'OCTMS Risk Map'!C53</f>
        <v>2</v>
      </c>
      <c r="C2055" s="21" t="n">
        <f aca="false">IF(OR($AG$5=0,$AG$6=0),0,IF(COUNTIFS(INDEX($A$3:$AD$2002,0,$AG$5),A2055,INDEX($A$3:$AD$2002,0,$AG$6),"NON-COMPLIED")&gt;0,1,0))</f>
        <v>0</v>
      </c>
      <c r="D2055" s="21" t="n">
        <f aca="false">C2055*B2055</f>
        <v>0</v>
      </c>
    </row>
    <row r="2056" customFormat="false" ht="15" hidden="false" customHeight="false" outlineLevel="0" collapsed="false">
      <c r="A2056" s="26" t="str">
        <f aca="false">'OCTMS Risk Map'!A54</f>
        <v>K9</v>
      </c>
      <c r="B2056" s="28" t="n">
        <f aca="false">'OCTMS Risk Map'!C54</f>
        <v>3</v>
      </c>
      <c r="C2056" s="21" t="n">
        <f aca="false">IF(OR($AG$5=0,$AG$6=0),0,IF(COUNTIFS(INDEX($A$3:$AD$2002,0,$AG$5),A2056,INDEX($A$3:$AD$2002,0,$AG$6),"NON-COMPLIED")&gt;0,1,0))</f>
        <v>0</v>
      </c>
      <c r="D2056" s="21" t="n">
        <f aca="false">C2056*B2056</f>
        <v>0</v>
      </c>
    </row>
    <row r="2057" customFormat="false" ht="15" hidden="false" customHeight="false" outlineLevel="0" collapsed="false">
      <c r="A2057" s="26" t="str">
        <f aca="false">'OCTMS Risk Map'!A55</f>
        <v>K14</v>
      </c>
      <c r="B2057" s="28" t="n">
        <f aca="false">'OCTMS Risk Map'!C55</f>
        <v>1</v>
      </c>
      <c r="C2057" s="21" t="n">
        <f aca="false">IF(OR($AG$5=0,$AG$6=0),0,IF(COUNTIFS(INDEX($A$3:$AD$2002,0,$AG$5),A2057,INDEX($A$3:$AD$2002,0,$AG$6),"NON-COMPLIED")&gt;0,1,0))</f>
        <v>0</v>
      </c>
      <c r="D2057" s="21" t="n">
        <f aca="false">C2057*B2057</f>
        <v>0</v>
      </c>
    </row>
    <row r="2058" customFormat="false" ht="15" hidden="false" customHeight="false" outlineLevel="0" collapsed="false">
      <c r="A2058" s="26" t="str">
        <f aca="false">'OCTMS Risk Map'!A56</f>
        <v>K15</v>
      </c>
      <c r="B2058" s="28" t="n">
        <f aca="false">'OCTMS Risk Map'!C56</f>
        <v>3</v>
      </c>
      <c r="C2058" s="21" t="n">
        <f aca="false">IF(OR($AG$5=0,$AG$6=0),0,IF(COUNTIFS(INDEX($A$3:$AD$2002,0,$AG$5),A2058,INDEX($A$3:$AD$2002,0,$AG$6),"NON-COMPLIED")&gt;0,1,0))</f>
        <v>0</v>
      </c>
      <c r="D2058" s="21" t="n">
        <f aca="false">C2058*B2058</f>
        <v>0</v>
      </c>
    </row>
    <row r="2059" customFormat="false" ht="15" hidden="false" customHeight="false" outlineLevel="0" collapsed="false">
      <c r="A2059" s="26" t="str">
        <f aca="false">'OCTMS Risk Map'!A57</f>
        <v>K16</v>
      </c>
      <c r="B2059" s="28" t="n">
        <f aca="false">'OCTMS Risk Map'!C57</f>
        <v>2</v>
      </c>
      <c r="C2059" s="21" t="n">
        <f aca="false">IF(OR($AG$5=0,$AG$6=0),0,IF(COUNTIFS(INDEX($A$3:$AD$2002,0,$AG$5),A2059,INDEX($A$3:$AD$2002,0,$AG$6),"NON-COMPLIED")&gt;0,1,0))</f>
        <v>0</v>
      </c>
      <c r="D2059" s="21" t="n">
        <f aca="false">C2059*B2059</f>
        <v>0</v>
      </c>
    </row>
    <row r="2060" customFormat="false" ht="15" hidden="false" customHeight="false" outlineLevel="0" collapsed="false">
      <c r="A2060" s="26" t="str">
        <f aca="false">'OCTMS Risk Map'!A58</f>
        <v>K17</v>
      </c>
      <c r="B2060" s="28" t="n">
        <f aca="false">'OCTMS Risk Map'!C58</f>
        <v>1</v>
      </c>
      <c r="C2060" s="21" t="n">
        <f aca="false">IF(OR($AG$5=0,$AG$6=0),0,IF(COUNTIFS(INDEX($A$3:$AD$2002,0,$AG$5),A2060,INDEX($A$3:$AD$2002,0,$AG$6),"NON-COMPLIED")&gt;0,1,0))</f>
        <v>0</v>
      </c>
      <c r="D2060" s="21" t="n">
        <f aca="false">C2060*B2060</f>
        <v>0</v>
      </c>
    </row>
    <row r="2061" customFormat="false" ht="15" hidden="false" customHeight="false" outlineLevel="0" collapsed="false">
      <c r="A2061" s="26" t="str">
        <f aca="false">'OCTMS Risk Map'!A59</f>
        <v>K18</v>
      </c>
      <c r="B2061" s="28" t="n">
        <f aca="false">'OCTMS Risk Map'!C59</f>
        <v>1</v>
      </c>
      <c r="C2061" s="21" t="n">
        <f aca="false">IF(OR($AG$5=0,$AG$6=0),0,IF(COUNTIFS(INDEX($A$3:$AD$2002,0,$AG$5),A2061,INDEX($A$3:$AD$2002,0,$AG$6),"NON-COMPLIED")&gt;0,1,0))</f>
        <v>0</v>
      </c>
      <c r="D2061" s="21" t="n">
        <f aca="false">C2061*B2061</f>
        <v>0</v>
      </c>
    </row>
    <row r="2062" customFormat="false" ht="15" hidden="false" customHeight="false" outlineLevel="0" collapsed="false">
      <c r="A2062" s="26" t="str">
        <f aca="false">'OCTMS Risk Map'!A60</f>
        <v>K19</v>
      </c>
      <c r="B2062" s="28" t="n">
        <f aca="false">'OCTMS Risk Map'!C60</f>
        <v>1</v>
      </c>
      <c r="C2062" s="21" t="n">
        <f aca="false">IF(OR($AG$5=0,$AG$6=0),0,IF(COUNTIFS(INDEX($A$3:$AD$2002,0,$AG$5),A2062,INDEX($A$3:$AD$2002,0,$AG$6),"NON-COMPLIED")&gt;0,1,0))</f>
        <v>0</v>
      </c>
      <c r="D2062" s="21" t="n">
        <f aca="false">C2062*B2062</f>
        <v>0</v>
      </c>
    </row>
    <row r="2063" customFormat="false" ht="15" hidden="false" customHeight="false" outlineLevel="0" collapsed="false">
      <c r="A2063" s="26" t="str">
        <f aca="false">'OCTMS Risk Map'!A61</f>
        <v>K20</v>
      </c>
      <c r="B2063" s="28" t="n">
        <f aca="false">'OCTMS Risk Map'!C61</f>
        <v>3</v>
      </c>
      <c r="C2063" s="21" t="n">
        <f aca="false">IF(OR($AG$5=0,$AG$6=0),0,IF(COUNTIFS(INDEX($A$3:$AD$2002,0,$AG$5),A2063,INDEX($A$3:$AD$2002,0,$AG$6),"NON-COMPLIED")&gt;0,1,0))</f>
        <v>0</v>
      </c>
      <c r="D2063" s="21" t="n">
        <f aca="false">C2063*B2063</f>
        <v>0</v>
      </c>
    </row>
    <row r="2064" customFormat="false" ht="15" hidden="false" customHeight="false" outlineLevel="0" collapsed="false">
      <c r="A2064" s="26" t="str">
        <f aca="false">'OCTMS Risk Map'!A62</f>
        <v>L1</v>
      </c>
      <c r="B2064" s="28" t="n">
        <f aca="false">'OCTMS Risk Map'!C62</f>
        <v>3</v>
      </c>
      <c r="C2064" s="21" t="n">
        <f aca="false">IF(OR($AG$5=0,$AG$6=0),0,IF(COUNTIFS(INDEX($A$3:$AD$2002,0,$AG$5),A2064,INDEX($A$3:$AD$2002,0,$AG$6),"NON-COMPLIED")&gt;0,1,0))</f>
        <v>0</v>
      </c>
      <c r="D2064" s="21" t="n">
        <f aca="false">C2064*B2064</f>
        <v>0</v>
      </c>
    </row>
    <row r="2065" customFormat="false" ht="15" hidden="false" customHeight="false" outlineLevel="0" collapsed="false">
      <c r="A2065" s="26" t="str">
        <f aca="false">'OCTMS Risk Map'!A63</f>
        <v>L2</v>
      </c>
      <c r="B2065" s="28" t="n">
        <f aca="false">'OCTMS Risk Map'!C63</f>
        <v>3</v>
      </c>
      <c r="C2065" s="21" t="n">
        <f aca="false">IF(OR($AG$5=0,$AG$6=0),0,IF(COUNTIFS(INDEX($A$3:$AD$2002,0,$AG$5),A2065,INDEX($A$3:$AD$2002,0,$AG$6),"NON-COMPLIED")&gt;0,1,0))</f>
        <v>0</v>
      </c>
      <c r="D2065" s="21" t="n">
        <f aca="false">C2065*B2065</f>
        <v>0</v>
      </c>
    </row>
    <row r="2066" customFormat="false" ht="15" hidden="false" customHeight="false" outlineLevel="0" collapsed="false">
      <c r="A2066" s="26" t="str">
        <f aca="false">'OCTMS Risk Map'!A64</f>
        <v>L3</v>
      </c>
      <c r="B2066" s="28" t="n">
        <f aca="false">'OCTMS Risk Map'!C64</f>
        <v>1</v>
      </c>
      <c r="C2066" s="21" t="n">
        <f aca="false">IF(OR($AG$5=0,$AG$6=0),0,IF(COUNTIFS(INDEX($A$3:$AD$2002,0,$AG$5),A2066,INDEX($A$3:$AD$2002,0,$AG$6),"NON-COMPLIED")&gt;0,1,0))</f>
        <v>0</v>
      </c>
      <c r="D2066" s="21" t="n">
        <f aca="false">C2066*B2066</f>
        <v>0</v>
      </c>
    </row>
    <row r="2067" customFormat="false" ht="15" hidden="false" customHeight="false" outlineLevel="0" collapsed="false">
      <c r="A2067" s="26" t="str">
        <f aca="false">'OCTMS Risk Map'!A65</f>
        <v>M1</v>
      </c>
      <c r="B2067" s="28" t="n">
        <f aca="false">'OCTMS Risk Map'!C65</f>
        <v>3</v>
      </c>
      <c r="C2067" s="21" t="n">
        <f aca="false">IF(OR($AG$5=0,$AG$6=0),0,IF(COUNTIFS(INDEX($A$3:$AD$2002,0,$AG$5),A2067,INDEX($A$3:$AD$2002,0,$AG$6),"NON-COMPLIED")&gt;0,1,0))</f>
        <v>0</v>
      </c>
      <c r="D2067" s="21" t="n">
        <f aca="false">C2067*B2067</f>
        <v>0</v>
      </c>
    </row>
    <row r="2068" customFormat="false" ht="15" hidden="false" customHeight="false" outlineLevel="0" collapsed="false">
      <c r="A2068" s="26" t="str">
        <f aca="false">'OCTMS Risk Map'!A66</f>
        <v>M2</v>
      </c>
      <c r="B2068" s="28" t="n">
        <f aca="false">'OCTMS Risk Map'!C66</f>
        <v>2</v>
      </c>
      <c r="C2068" s="21" t="n">
        <f aca="false">IF(OR($AG$5=0,$AG$6=0),0,IF(COUNTIFS(INDEX($A$3:$AD$2002,0,$AG$5),A2068,INDEX($A$3:$AD$2002,0,$AG$6),"NON-COMPLIED")&gt;0,1,0))</f>
        <v>0</v>
      </c>
      <c r="D2068" s="21" t="n">
        <f aca="false">C2068*B2068</f>
        <v>0</v>
      </c>
    </row>
    <row r="2069" customFormat="false" ht="15" hidden="false" customHeight="false" outlineLevel="0" collapsed="false">
      <c r="A2069" s="26" t="str">
        <f aca="false">'OCTMS Risk Map'!A67</f>
        <v>M3</v>
      </c>
      <c r="B2069" s="28" t="n">
        <f aca="false">'OCTMS Risk Map'!C67</f>
        <v>3</v>
      </c>
      <c r="C2069" s="21" t="n">
        <f aca="false">IF(OR($AG$5=0,$AG$6=0),0,IF(COUNTIFS(INDEX($A$3:$AD$2002,0,$AG$5),A2069,INDEX($A$3:$AD$2002,0,$AG$6),"NON-COMPLIED")&gt;0,1,0))</f>
        <v>0</v>
      </c>
      <c r="D2069" s="21" t="n">
        <f aca="false">C2069*B2069</f>
        <v>0</v>
      </c>
    </row>
    <row r="2070" customFormat="false" ht="15" hidden="false" customHeight="false" outlineLevel="0" collapsed="false">
      <c r="A2070" s="26" t="str">
        <f aca="false">'OCTMS Risk Map'!A68</f>
        <v>M4</v>
      </c>
      <c r="B2070" s="28" t="n">
        <f aca="false">'OCTMS Risk Map'!C68</f>
        <v>1</v>
      </c>
      <c r="C2070" s="21" t="n">
        <f aca="false">IF(OR($AG$5=0,$AG$6=0),0,IF(COUNTIFS(INDEX($A$3:$AD$2002,0,$AG$5),A2070,INDEX($A$3:$AD$2002,0,$AG$6),"NON-COMPLIED")&gt;0,1,0))</f>
        <v>0</v>
      </c>
      <c r="D2070" s="21" t="n">
        <f aca="false">C2070*B2070</f>
        <v>0</v>
      </c>
    </row>
    <row r="2071" customFormat="false" ht="15" hidden="false" customHeight="false" outlineLevel="0" collapsed="false">
      <c r="A2071" s="26" t="str">
        <f aca="false">'OCTMS Risk Map'!A69</f>
        <v>M5</v>
      </c>
      <c r="B2071" s="28" t="n">
        <f aca="false">'OCTMS Risk Map'!C69</f>
        <v>2</v>
      </c>
      <c r="C2071" s="21" t="n">
        <f aca="false">IF(OR($AG$5=0,$AG$6=0),0,IF(COUNTIFS(INDEX($A$3:$AD$2002,0,$AG$5),A2071,INDEX($A$3:$AD$2002,0,$AG$6),"NON-COMPLIED")&gt;0,1,0))</f>
        <v>0</v>
      </c>
      <c r="D2071" s="21" t="n">
        <f aca="false">C2071*B2071</f>
        <v>0</v>
      </c>
    </row>
    <row r="2072" customFormat="false" ht="15" hidden="false" customHeight="false" outlineLevel="0" collapsed="false">
      <c r="A2072" s="26" t="str">
        <f aca="false">'OCTMS Risk Map'!A70</f>
        <v>M6</v>
      </c>
      <c r="B2072" s="28" t="n">
        <f aca="false">'OCTMS Risk Map'!C70</f>
        <v>3</v>
      </c>
      <c r="C2072" s="21" t="n">
        <f aca="false">IF(OR($AG$5=0,$AG$6=0),0,IF(COUNTIFS(INDEX($A$3:$AD$2002,0,$AG$5),A2072,INDEX($A$3:$AD$2002,0,$AG$6),"NON-COMPLIED")&gt;0,1,0))</f>
        <v>0</v>
      </c>
      <c r="D2072" s="21" t="n">
        <f aca="false">C2072*B2072</f>
        <v>0</v>
      </c>
    </row>
    <row r="2073" customFormat="false" ht="15" hidden="false" customHeight="false" outlineLevel="0" collapsed="false">
      <c r="A2073" s="26" t="str">
        <f aca="false">'OCTMS Risk Map'!A71</f>
        <v>M7</v>
      </c>
      <c r="B2073" s="28" t="n">
        <f aca="false">'OCTMS Risk Map'!C71</f>
        <v>2</v>
      </c>
      <c r="C2073" s="21" t="n">
        <f aca="false">IF(OR($AG$5=0,$AG$6=0),0,IF(COUNTIFS(INDEX($A$3:$AD$2002,0,$AG$5),A2073,INDEX($A$3:$AD$2002,0,$AG$6),"NON-COMPLIED")&gt;0,1,0))</f>
        <v>0</v>
      </c>
      <c r="D2073" s="21" t="n">
        <f aca="false">C2073*B2073</f>
        <v>0</v>
      </c>
    </row>
    <row r="2074" customFormat="false" ht="15" hidden="false" customHeight="false" outlineLevel="0" collapsed="false">
      <c r="A2074" s="26" t="str">
        <f aca="false">'OCTMS Risk Map'!A72</f>
        <v>M8</v>
      </c>
      <c r="B2074" s="28" t="n">
        <f aca="false">'OCTMS Risk Map'!C72</f>
        <v>2</v>
      </c>
      <c r="C2074" s="21" t="n">
        <f aca="false">IF(OR($AG$5=0,$AG$6=0),0,IF(COUNTIFS(INDEX($A$3:$AD$2002,0,$AG$5),A2074,INDEX($A$3:$AD$2002,0,$AG$6),"NON-COMPLIED")&gt;0,1,0))</f>
        <v>0</v>
      </c>
      <c r="D2074" s="21" t="n">
        <f aca="false">C2074*B2074</f>
        <v>0</v>
      </c>
    </row>
    <row r="2075" customFormat="false" ht="15" hidden="false" customHeight="false" outlineLevel="0" collapsed="false">
      <c r="A2075" s="26" t="str">
        <f aca="false">'OCTMS Risk Map'!A73</f>
        <v>M9</v>
      </c>
      <c r="B2075" s="28" t="n">
        <f aca="false">'OCTMS Risk Map'!C73</f>
        <v>2</v>
      </c>
      <c r="C2075" s="21" t="n">
        <f aca="false">IF(OR($AG$5=0,$AG$6=0),0,IF(COUNTIFS(INDEX($A$3:$AD$2002,0,$AG$5),A2075,INDEX($A$3:$AD$2002,0,$AG$6),"NON-COMPLIED")&gt;0,1,0))</f>
        <v>0</v>
      </c>
      <c r="D2075" s="21" t="n">
        <f aca="false">C2075*B2075</f>
        <v>0</v>
      </c>
    </row>
    <row r="2076" customFormat="false" ht="15" hidden="false" customHeight="false" outlineLevel="0" collapsed="false">
      <c r="A2076" s="26" t="str">
        <f aca="false">'OCTMS Risk Map'!A74</f>
        <v>M10</v>
      </c>
      <c r="B2076" s="28" t="n">
        <f aca="false">'OCTMS Risk Map'!C74</f>
        <v>3</v>
      </c>
      <c r="C2076" s="21" t="n">
        <f aca="false">IF(OR($AG$5=0,$AG$6=0),0,IF(COUNTIFS(INDEX($A$3:$AD$2002,0,$AG$5),A2076,INDEX($A$3:$AD$2002,0,$AG$6),"NON-COMPLIED")&gt;0,1,0))</f>
        <v>0</v>
      </c>
      <c r="D2076" s="21" t="n">
        <f aca="false">C2076*B2076</f>
        <v>0</v>
      </c>
    </row>
    <row r="2077" customFormat="false" ht="15" hidden="false" customHeight="false" outlineLevel="0" collapsed="false">
      <c r="A2077" s="26" t="str">
        <f aca="false">'OCTMS Risk Map'!A75</f>
        <v>M12</v>
      </c>
      <c r="B2077" s="28" t="n">
        <f aca="false">'OCTMS Risk Map'!C75</f>
        <v>2</v>
      </c>
      <c r="C2077" s="21" t="n">
        <f aca="false">IF(OR($AG$5=0,$AG$6=0),0,IF(COUNTIFS(INDEX($A$3:$AD$2002,0,$AG$5),A2077,INDEX($A$3:$AD$2002,0,$AG$6),"NON-COMPLIED")&gt;0,1,0))</f>
        <v>0</v>
      </c>
      <c r="D2077" s="21" t="n">
        <f aca="false">C2077*B2077</f>
        <v>0</v>
      </c>
    </row>
    <row r="2078" customFormat="false" ht="15" hidden="false" customHeight="false" outlineLevel="0" collapsed="false">
      <c r="A2078" s="26" t="str">
        <f aca="false">'OCTMS Risk Map'!A76</f>
        <v>M13</v>
      </c>
      <c r="B2078" s="28" t="n">
        <f aca="false">'OCTMS Risk Map'!C76</f>
        <v>1</v>
      </c>
      <c r="C2078" s="21" t="n">
        <f aca="false">IF(OR($AG$5=0,$AG$6=0),0,IF(COUNTIFS(INDEX($A$3:$AD$2002,0,$AG$5),A2078,INDEX($A$3:$AD$2002,0,$AG$6),"NON-COMPLIED")&gt;0,1,0))</f>
        <v>0</v>
      </c>
      <c r="D2078" s="21" t="n">
        <f aca="false">C2078*B2078</f>
        <v>0</v>
      </c>
    </row>
    <row r="2079" customFormat="false" ht="15" hidden="false" customHeight="false" outlineLevel="0" collapsed="false">
      <c r="A2079" s="26" t="str">
        <f aca="false">'OCTMS Risk Map'!A77</f>
        <v>M14</v>
      </c>
      <c r="B2079" s="28" t="n">
        <f aca="false">'OCTMS Risk Map'!C77</f>
        <v>3</v>
      </c>
      <c r="C2079" s="21" t="n">
        <f aca="false">IF(OR($AG$5=0,$AG$6=0),0,IF(COUNTIFS(INDEX($A$3:$AD$2002,0,$AG$5),A2079,INDEX($A$3:$AD$2002,0,$AG$6),"NON-COMPLIED")&gt;0,1,0))</f>
        <v>0</v>
      </c>
      <c r="D2079" s="21" t="n">
        <f aca="false">C2079*B2079</f>
        <v>0</v>
      </c>
    </row>
    <row r="2080" customFormat="false" ht="15" hidden="false" customHeight="false" outlineLevel="0" collapsed="false">
      <c r="A2080" s="26" t="str">
        <f aca="false">'OCTMS Risk Map'!A78</f>
        <v>M15</v>
      </c>
      <c r="B2080" s="28" t="n">
        <f aca="false">'OCTMS Risk Map'!C78</f>
        <v>3</v>
      </c>
      <c r="C2080" s="21" t="n">
        <f aca="false">IF(OR($AG$5=0,$AG$6=0),0,IF(COUNTIFS(INDEX($A$3:$AD$2002,0,$AG$5),A2080,INDEX($A$3:$AD$2002,0,$AG$6),"NON-COMPLIED")&gt;0,1,0))</f>
        <v>0</v>
      </c>
      <c r="D2080" s="21" t="n">
        <f aca="false">C2080*B2080</f>
        <v>0</v>
      </c>
    </row>
    <row r="2081" customFormat="false" ht="15" hidden="false" customHeight="false" outlineLevel="0" collapsed="false">
      <c r="A2081" s="26" t="str">
        <f aca="false">'OCTMS Risk Map'!A79</f>
        <v>M17</v>
      </c>
      <c r="B2081" s="28" t="n">
        <f aca="false">'OCTMS Risk Map'!C79</f>
        <v>3</v>
      </c>
      <c r="C2081" s="21" t="n">
        <f aca="false">IF(OR($AG$5=0,$AG$6=0),0,IF(COUNTIFS(INDEX($A$3:$AD$2002,0,$AG$5),A2081,INDEX($A$3:$AD$2002,0,$AG$6),"NON-COMPLIED")&gt;0,1,0))</f>
        <v>0</v>
      </c>
      <c r="D2081" s="21" t="n">
        <f aca="false">C2081*B2081</f>
        <v>0</v>
      </c>
    </row>
    <row r="2082" customFormat="false" ht="15" hidden="false" customHeight="false" outlineLevel="0" collapsed="false">
      <c r="A2082" s="26" t="str">
        <f aca="false">'OCTMS Risk Map'!A80</f>
        <v>M18</v>
      </c>
      <c r="B2082" s="28" t="n">
        <f aca="false">'OCTMS Risk Map'!C80</f>
        <v>3</v>
      </c>
      <c r="C2082" s="21" t="n">
        <f aca="false">IF(OR($AG$5=0,$AG$6=0),0,IF(COUNTIFS(INDEX($A$3:$AD$2002,0,$AG$5),A2082,INDEX($A$3:$AD$2002,0,$AG$6),"NON-COMPLIED")&gt;0,1,0))</f>
        <v>0</v>
      </c>
      <c r="D2082" s="21" t="n">
        <f aca="false">C2082*B2082</f>
        <v>0</v>
      </c>
    </row>
    <row r="2083" customFormat="false" ht="15" hidden="false" customHeight="false" outlineLevel="0" collapsed="false">
      <c r="A2083" s="26" t="str">
        <f aca="false">'OCTMS Risk Map'!A81</f>
        <v>M19</v>
      </c>
      <c r="B2083" s="28" t="n">
        <f aca="false">'OCTMS Risk Map'!C81</f>
        <v>2</v>
      </c>
      <c r="C2083" s="21" t="n">
        <f aca="false">IF(OR($AG$5=0,$AG$6=0),0,IF(COUNTIFS(INDEX($A$3:$AD$2002,0,$AG$5),A2083,INDEX($A$3:$AD$2002,0,$AG$6),"NON-COMPLIED")&gt;0,1,0))</f>
        <v>0</v>
      </c>
      <c r="D2083" s="21" t="n">
        <f aca="false">C2083*B2083</f>
        <v>0</v>
      </c>
    </row>
    <row r="2084" customFormat="false" ht="15" hidden="false" customHeight="false" outlineLevel="0" collapsed="false">
      <c r="A2084" s="26" t="str">
        <f aca="false">'OCTMS Risk Map'!A82</f>
        <v>M20</v>
      </c>
      <c r="B2084" s="28" t="n">
        <f aca="false">'OCTMS Risk Map'!C82</f>
        <v>2</v>
      </c>
      <c r="C2084" s="21" t="n">
        <f aca="false">IF(OR($AG$5=0,$AG$6=0),0,IF(COUNTIFS(INDEX($A$3:$AD$2002,0,$AG$5),A2084,INDEX($A$3:$AD$2002,0,$AG$6),"NON-COMPLIED")&gt;0,1,0))</f>
        <v>0</v>
      </c>
      <c r="D2084" s="21" t="n">
        <f aca="false">C2084*B2084</f>
        <v>0</v>
      </c>
    </row>
    <row r="2085" customFormat="false" ht="15" hidden="false" customHeight="false" outlineLevel="0" collapsed="false">
      <c r="A2085" s="26" t="str">
        <f aca="false">'OCTMS Risk Map'!A83</f>
        <v>M21</v>
      </c>
      <c r="B2085" s="28" t="n">
        <f aca="false">'OCTMS Risk Map'!C83</f>
        <v>3</v>
      </c>
      <c r="C2085" s="21" t="n">
        <f aca="false">IF(OR($AG$5=0,$AG$6=0),0,IF(COUNTIFS(INDEX($A$3:$AD$2002,0,$AG$5),A2085,INDEX($A$3:$AD$2002,0,$AG$6),"NON-COMPLIED")&gt;0,1,0))</f>
        <v>0</v>
      </c>
      <c r="D2085" s="21" t="n">
        <f aca="false">C2085*B2085</f>
        <v>0</v>
      </c>
    </row>
    <row r="2086" customFormat="false" ht="15" hidden="false" customHeight="false" outlineLevel="0" collapsed="false">
      <c r="A2086" s="26" t="str">
        <f aca="false">'OCTMS Risk Map'!A84</f>
        <v>M24</v>
      </c>
      <c r="B2086" s="28" t="n">
        <f aca="false">'OCTMS Risk Map'!C84</f>
        <v>2</v>
      </c>
      <c r="C2086" s="21" t="n">
        <f aca="false">IF(OR($AG$5=0,$AG$6=0),0,IF(COUNTIFS(INDEX($A$3:$AD$2002,0,$AG$5),A2086,INDEX($A$3:$AD$2002,0,$AG$6),"NON-COMPLIED")&gt;0,1,0))</f>
        <v>0</v>
      </c>
      <c r="D2086" s="21" t="n">
        <f aca="false">C2086*B2086</f>
        <v>0</v>
      </c>
    </row>
    <row r="2087" customFormat="false" ht="15" hidden="false" customHeight="false" outlineLevel="0" collapsed="false">
      <c r="A2087" s="26" t="str">
        <f aca="false">'OCTMS Risk Map'!A85</f>
        <v>M25</v>
      </c>
      <c r="B2087" s="28" t="n">
        <f aca="false">'OCTMS Risk Map'!C85</f>
        <v>2</v>
      </c>
      <c r="C2087" s="21" t="n">
        <f aca="false">IF(OR($AG$5=0,$AG$6=0),0,IF(COUNTIFS(INDEX($A$3:$AD$2002,0,$AG$5),A2087,INDEX($A$3:$AD$2002,0,$AG$6),"NON-COMPLIED")&gt;0,1,0))</f>
        <v>0</v>
      </c>
      <c r="D2087" s="21" t="n">
        <f aca="false">C2087*B2087</f>
        <v>0</v>
      </c>
    </row>
    <row r="2088" customFormat="false" ht="15" hidden="false" customHeight="false" outlineLevel="0" collapsed="false">
      <c r="A2088" s="26" t="str">
        <f aca="false">'OCTMS Risk Map'!A86</f>
        <v>M26</v>
      </c>
      <c r="B2088" s="28" t="n">
        <f aca="false">'OCTMS Risk Map'!C86</f>
        <v>3</v>
      </c>
      <c r="C2088" s="21" t="n">
        <f aca="false">IF(OR($AG$5=0,$AG$6=0),0,IF(COUNTIFS(INDEX($A$3:$AD$2002,0,$AG$5),A2088,INDEX($A$3:$AD$2002,0,$AG$6),"NON-COMPLIED")&gt;0,1,0))</f>
        <v>0</v>
      </c>
      <c r="D2088" s="21" t="n">
        <f aca="false">C2088*B2088</f>
        <v>0</v>
      </c>
    </row>
    <row r="2089" customFormat="false" ht="15" hidden="false" customHeight="false" outlineLevel="0" collapsed="false">
      <c r="A2089" s="26" t="str">
        <f aca="false">'OCTMS Risk Map'!A87</f>
        <v>M27</v>
      </c>
      <c r="B2089" s="28" t="n">
        <f aca="false">'OCTMS Risk Map'!C87</f>
        <v>2</v>
      </c>
      <c r="C2089" s="21" t="n">
        <f aca="false">IF(OR($AG$5=0,$AG$6=0),0,IF(COUNTIFS(INDEX($A$3:$AD$2002,0,$AG$5),A2089,INDEX($A$3:$AD$2002,0,$AG$6),"NON-COMPLIED")&gt;0,1,0))</f>
        <v>0</v>
      </c>
      <c r="D2089" s="21" t="n">
        <f aca="false">C2089*B2089</f>
        <v>0</v>
      </c>
    </row>
    <row r="2090" customFormat="false" ht="15" hidden="false" customHeight="false" outlineLevel="0" collapsed="false">
      <c r="A2090" s="26" t="str">
        <f aca="false">'OCTMS Risk Map'!A88</f>
        <v>M28</v>
      </c>
      <c r="B2090" s="28" t="n">
        <f aca="false">'OCTMS Risk Map'!C88</f>
        <v>3</v>
      </c>
      <c r="C2090" s="21" t="n">
        <f aca="false">IF(OR($AG$5=0,$AG$6=0),0,IF(COUNTIFS(INDEX($A$3:$AD$2002,0,$AG$5),A2090,INDEX($A$3:$AD$2002,0,$AG$6),"NON-COMPLIED")&gt;0,1,0))</f>
        <v>0</v>
      </c>
      <c r="D2090" s="21" t="n">
        <f aca="false">C2090*B2090</f>
        <v>0</v>
      </c>
    </row>
    <row r="2091" customFormat="false" ht="15" hidden="false" customHeight="false" outlineLevel="0" collapsed="false">
      <c r="A2091" s="26" t="str">
        <f aca="false">'OCTMS Risk Map'!A89</f>
        <v>M29</v>
      </c>
      <c r="B2091" s="28" t="n">
        <f aca="false">'OCTMS Risk Map'!C89</f>
        <v>3</v>
      </c>
      <c r="C2091" s="21" t="n">
        <f aca="false">IF(OR($AG$5=0,$AG$6=0),0,IF(COUNTIFS(INDEX($A$3:$AD$2002,0,$AG$5),A2091,INDEX($A$3:$AD$2002,0,$AG$6),"NON-COMPLIED")&gt;0,1,0))</f>
        <v>0</v>
      </c>
      <c r="D2091" s="21" t="n">
        <f aca="false">C2091*B2091</f>
        <v>0</v>
      </c>
    </row>
    <row r="2092" customFormat="false" ht="15" hidden="false" customHeight="false" outlineLevel="0" collapsed="false">
      <c r="A2092" s="26" t="str">
        <f aca="false">'OCTMS Risk Map'!A90</f>
        <v>M30</v>
      </c>
      <c r="B2092" s="28" t="n">
        <f aca="false">'OCTMS Risk Map'!C90</f>
        <v>3</v>
      </c>
      <c r="C2092" s="21" t="n">
        <f aca="false">IF(OR($AG$5=0,$AG$6=0),0,IF(COUNTIFS(INDEX($A$3:$AD$2002,0,$AG$5),A2092,INDEX($A$3:$AD$2002,0,$AG$6),"NON-COMPLIED")&gt;0,1,0))</f>
        <v>0</v>
      </c>
      <c r="D2092" s="21" t="n">
        <f aca="false">C2092*B2092</f>
        <v>0</v>
      </c>
    </row>
    <row r="2093" customFormat="false" ht="15" hidden="false" customHeight="false" outlineLevel="0" collapsed="false">
      <c r="A2093" s="26" t="str">
        <f aca="false">'OCTMS Risk Map'!A91</f>
        <v>M31</v>
      </c>
      <c r="B2093" s="28" t="n">
        <f aca="false">'OCTMS Risk Map'!C91</f>
        <v>2</v>
      </c>
      <c r="C2093" s="21" t="n">
        <f aca="false">IF(OR($AG$5=0,$AG$6=0),0,IF(COUNTIFS(INDEX($A$3:$AD$2002,0,$AG$5),A2093,INDEX($A$3:$AD$2002,0,$AG$6),"NON-COMPLIED")&gt;0,1,0))</f>
        <v>0</v>
      </c>
      <c r="D2093" s="21" t="n">
        <f aca="false">C2093*B2093</f>
        <v>0</v>
      </c>
    </row>
    <row r="2094" customFormat="false" ht="15" hidden="false" customHeight="false" outlineLevel="0" collapsed="false">
      <c r="A2094" s="26" t="str">
        <f aca="false">'OCTMS Risk Map'!A92</f>
        <v>M32</v>
      </c>
      <c r="B2094" s="28" t="n">
        <f aca="false">'OCTMS Risk Map'!C92</f>
        <v>2</v>
      </c>
      <c r="C2094" s="21" t="n">
        <f aca="false">IF(OR($AG$5=0,$AG$6=0),0,IF(COUNTIFS(INDEX($A$3:$AD$2002,0,$AG$5),A2094,INDEX($A$3:$AD$2002,0,$AG$6),"NON-COMPLIED")&gt;0,1,0))</f>
        <v>0</v>
      </c>
      <c r="D2094" s="21" t="n">
        <f aca="false">C2094*B2094</f>
        <v>0</v>
      </c>
    </row>
    <row r="2095" customFormat="false" ht="15" hidden="false" customHeight="false" outlineLevel="0" collapsed="false">
      <c r="A2095" s="26" t="str">
        <f aca="false">'OCTMS Risk Map'!A93</f>
        <v>M33</v>
      </c>
      <c r="B2095" s="28" t="n">
        <f aca="false">'OCTMS Risk Map'!C93</f>
        <v>2</v>
      </c>
      <c r="C2095" s="21" t="n">
        <f aca="false">IF(OR($AG$5=0,$AG$6=0),0,IF(COUNTIFS(INDEX($A$3:$AD$2002,0,$AG$5),A2095,INDEX($A$3:$AD$2002,0,$AG$6),"NON-COMPLIED")&gt;0,1,0))</f>
        <v>0</v>
      </c>
      <c r="D2095" s="21" t="n">
        <f aca="false">C2095*B2095</f>
        <v>0</v>
      </c>
    </row>
    <row r="2096" customFormat="false" ht="15" hidden="false" customHeight="false" outlineLevel="0" collapsed="false">
      <c r="A2096" s="26" t="str">
        <f aca="false">'OCTMS Risk Map'!A94</f>
        <v>M34</v>
      </c>
      <c r="B2096" s="28" t="n">
        <f aca="false">'OCTMS Risk Map'!C94</f>
        <v>2</v>
      </c>
      <c r="C2096" s="21" t="n">
        <f aca="false">IF(OR($AG$5=0,$AG$6=0),0,IF(COUNTIFS(INDEX($A$3:$AD$2002,0,$AG$5),A2096,INDEX($A$3:$AD$2002,0,$AG$6),"NON-COMPLIED")&gt;0,1,0))</f>
        <v>0</v>
      </c>
      <c r="D2096" s="21" t="n">
        <f aca="false">C2096*B2096</f>
        <v>0</v>
      </c>
    </row>
    <row r="2097" customFormat="false" ht="15" hidden="false" customHeight="false" outlineLevel="0" collapsed="false">
      <c r="A2097" s="26" t="str">
        <f aca="false">'OCTMS Risk Map'!A95</f>
        <v>M35</v>
      </c>
      <c r="B2097" s="28" t="n">
        <f aca="false">'OCTMS Risk Map'!C95</f>
        <v>2</v>
      </c>
      <c r="C2097" s="21" t="n">
        <f aca="false">IF(OR($AG$5=0,$AG$6=0),0,IF(COUNTIFS(INDEX($A$3:$AD$2002,0,$AG$5),A2097,INDEX($A$3:$AD$2002,0,$AG$6),"NON-COMPLIED")&gt;0,1,0))</f>
        <v>0</v>
      </c>
      <c r="D2097" s="21" t="n">
        <f aca="false">C2097*B2097</f>
        <v>0</v>
      </c>
    </row>
    <row r="2098" customFormat="false" ht="15" hidden="false" customHeight="false" outlineLevel="0" collapsed="false">
      <c r="A2098" s="26" t="str">
        <f aca="false">'OCTMS Risk Map'!A96</f>
        <v>M36</v>
      </c>
      <c r="B2098" s="28" t="n">
        <f aca="false">'OCTMS Risk Map'!C96</f>
        <v>1</v>
      </c>
      <c r="C2098" s="21" t="n">
        <f aca="false">IF(OR($AG$5=0,$AG$6=0),0,IF(COUNTIFS(INDEX($A$3:$AD$2002,0,$AG$5),A2098,INDEX($A$3:$AD$2002,0,$AG$6),"NON-COMPLIED")&gt;0,1,0))</f>
        <v>0</v>
      </c>
      <c r="D2098" s="21" t="n">
        <f aca="false">C2098*B2098</f>
        <v>0</v>
      </c>
    </row>
    <row r="2099" customFormat="false" ht="15" hidden="false" customHeight="false" outlineLevel="0" collapsed="false">
      <c r="A2099" s="26" t="str">
        <f aca="false">'OCTMS Risk Map'!A97</f>
        <v>M37</v>
      </c>
      <c r="B2099" s="28" t="n">
        <f aca="false">'OCTMS Risk Map'!C97</f>
        <v>1</v>
      </c>
      <c r="C2099" s="21" t="n">
        <f aca="false">IF(OR($AG$5=0,$AG$6=0),0,IF(COUNTIFS(INDEX($A$3:$AD$2002,0,$AG$5),A2099,INDEX($A$3:$AD$2002,0,$AG$6),"NON-COMPLIED")&gt;0,1,0))</f>
        <v>0</v>
      </c>
      <c r="D2099" s="21" t="n">
        <f aca="false">C2099*B2099</f>
        <v>0</v>
      </c>
    </row>
    <row r="2100" customFormat="false" ht="15" hidden="false" customHeight="false" outlineLevel="0" collapsed="false">
      <c r="A2100" s="26" t="str">
        <f aca="false">'OCTMS Risk Map'!A98</f>
        <v>M38</v>
      </c>
      <c r="B2100" s="28" t="n">
        <f aca="false">'OCTMS Risk Map'!C98</f>
        <v>3</v>
      </c>
      <c r="C2100" s="21" t="n">
        <f aca="false">IF(OR($AG$5=0,$AG$6=0),0,IF(COUNTIFS(INDEX($A$3:$AD$2002,0,$AG$5),A2100,INDEX($A$3:$AD$2002,0,$AG$6),"NON-COMPLIED")&gt;0,1,0))</f>
        <v>0</v>
      </c>
      <c r="D2100" s="21" t="n">
        <f aca="false">C2100*B2100</f>
        <v>0</v>
      </c>
    </row>
    <row r="2101" customFormat="false" ht="15" hidden="false" customHeight="false" outlineLevel="0" collapsed="false">
      <c r="A2101" s="26" t="str">
        <f aca="false">'OCTMS Risk Map'!A99</f>
        <v>M39</v>
      </c>
      <c r="B2101" s="28" t="n">
        <f aca="false">'OCTMS Risk Map'!C99</f>
        <v>2</v>
      </c>
      <c r="C2101" s="21" t="n">
        <f aca="false">IF(OR($AG$5=0,$AG$6=0),0,IF(COUNTIFS(INDEX($A$3:$AD$2002,0,$AG$5),A2101,INDEX($A$3:$AD$2002,0,$AG$6),"NON-COMPLIED")&gt;0,1,0))</f>
        <v>0</v>
      </c>
      <c r="D2101" s="21" t="n">
        <f aca="false">C2101*B2101</f>
        <v>0</v>
      </c>
    </row>
    <row r="2102" customFormat="false" ht="15" hidden="false" customHeight="false" outlineLevel="0" collapsed="false">
      <c r="A2102" s="26" t="str">
        <f aca="false">'OCTMS Risk Map'!A100</f>
        <v>M40</v>
      </c>
      <c r="B2102" s="28" t="n">
        <f aca="false">'OCTMS Risk Map'!C100</f>
        <v>3</v>
      </c>
      <c r="C2102" s="21" t="n">
        <f aca="false">IF(OR($AG$5=0,$AG$6=0),0,IF(COUNTIFS(INDEX($A$3:$AD$2002,0,$AG$5),A2102,INDEX($A$3:$AD$2002,0,$AG$6),"NON-COMPLIED")&gt;0,1,0))</f>
        <v>0</v>
      </c>
      <c r="D2102" s="21" t="n">
        <f aca="false">C2102*B2102</f>
        <v>0</v>
      </c>
    </row>
    <row r="2103" customFormat="false" ht="15" hidden="false" customHeight="false" outlineLevel="0" collapsed="false">
      <c r="A2103" s="26" t="str">
        <f aca="false">'OCTMS Risk Map'!A101</f>
        <v>M41</v>
      </c>
      <c r="B2103" s="28" t="n">
        <f aca="false">'OCTMS Risk Map'!C101</f>
        <v>2</v>
      </c>
      <c r="C2103" s="21" t="n">
        <f aca="false">IF(OR($AG$5=0,$AG$6=0),0,IF(COUNTIFS(INDEX($A$3:$AD$2002,0,$AG$5),A2103,INDEX($A$3:$AD$2002,0,$AG$6),"NON-COMPLIED")&gt;0,1,0))</f>
        <v>0</v>
      </c>
      <c r="D2103" s="21" t="n">
        <f aca="false">C2103*B2103</f>
        <v>0</v>
      </c>
    </row>
    <row r="2104" customFormat="false" ht="15" hidden="false" customHeight="false" outlineLevel="0" collapsed="false">
      <c r="A2104" s="26" t="str">
        <f aca="false">'OCTMS Risk Map'!A102</f>
        <v>M42</v>
      </c>
      <c r="B2104" s="28" t="n">
        <f aca="false">'OCTMS Risk Map'!C102</f>
        <v>3</v>
      </c>
      <c r="C2104" s="21" t="n">
        <f aca="false">IF(OR($AG$5=0,$AG$6=0),0,IF(COUNTIFS(INDEX($A$3:$AD$2002,0,$AG$5),A2104,INDEX($A$3:$AD$2002,0,$AG$6),"NON-COMPLIED")&gt;0,1,0))</f>
        <v>0</v>
      </c>
      <c r="D2104" s="21" t="n">
        <f aca="false">C2104*B2104</f>
        <v>0</v>
      </c>
    </row>
    <row r="2105" customFormat="false" ht="15" hidden="false" customHeight="false" outlineLevel="0" collapsed="false">
      <c r="A2105" s="26" t="str">
        <f aca="false">'OCTMS Risk Map'!A103</f>
        <v>M43</v>
      </c>
      <c r="B2105" s="28" t="n">
        <f aca="false">'OCTMS Risk Map'!C103</f>
        <v>3</v>
      </c>
      <c r="C2105" s="21" t="n">
        <f aca="false">IF(OR($AG$5=0,$AG$6=0),0,IF(COUNTIFS(INDEX($A$3:$AD$2002,0,$AG$5),A2105,INDEX($A$3:$AD$2002,0,$AG$6),"NON-COMPLIED")&gt;0,1,0))</f>
        <v>0</v>
      </c>
      <c r="D2105" s="21" t="n">
        <f aca="false">C2105*B2105</f>
        <v>0</v>
      </c>
    </row>
    <row r="2106" customFormat="false" ht="15" hidden="false" customHeight="false" outlineLevel="0" collapsed="false">
      <c r="A2106" s="26" t="str">
        <f aca="false">'OCTMS Risk Map'!A104</f>
        <v>M44</v>
      </c>
      <c r="B2106" s="28" t="n">
        <f aca="false">'OCTMS Risk Map'!C104</f>
        <v>2</v>
      </c>
      <c r="C2106" s="21" t="n">
        <f aca="false">IF(OR($AG$5=0,$AG$6=0),0,IF(COUNTIFS(INDEX($A$3:$AD$2002,0,$AG$5),A2106,INDEX($A$3:$AD$2002,0,$AG$6),"NON-COMPLIED")&gt;0,1,0))</f>
        <v>0</v>
      </c>
      <c r="D2106" s="21" t="n">
        <f aca="false">C2106*B2106</f>
        <v>0</v>
      </c>
    </row>
    <row r="2107" customFormat="false" ht="15" hidden="false" customHeight="false" outlineLevel="0" collapsed="false">
      <c r="A2107" s="26" t="str">
        <f aca="false">'OCTMS Risk Map'!A105</f>
        <v>M45</v>
      </c>
      <c r="B2107" s="28" t="n">
        <f aca="false">'OCTMS Risk Map'!C105</f>
        <v>2</v>
      </c>
      <c r="C2107" s="21" t="n">
        <f aca="false">IF(OR($AG$5=0,$AG$6=0),0,IF(COUNTIFS(INDEX($A$3:$AD$2002,0,$AG$5),A2107,INDEX($A$3:$AD$2002,0,$AG$6),"NON-COMPLIED")&gt;0,1,0))</f>
        <v>0</v>
      </c>
      <c r="D2107" s="21" t="n">
        <f aca="false">C2107*B2107</f>
        <v>0</v>
      </c>
    </row>
    <row r="2108" customFormat="false" ht="15" hidden="false" customHeight="false" outlineLevel="0" collapsed="false">
      <c r="A2108" s="26" t="str">
        <f aca="false">'OCTMS Risk Map'!A106</f>
        <v>M46</v>
      </c>
      <c r="B2108" s="28" t="n">
        <f aca="false">'OCTMS Risk Map'!C106</f>
        <v>1</v>
      </c>
      <c r="C2108" s="21" t="n">
        <f aca="false">IF(OR($AG$5=0,$AG$6=0),0,IF(COUNTIFS(INDEX($A$3:$AD$2002,0,$AG$5),A2108,INDEX($A$3:$AD$2002,0,$AG$6),"NON-COMPLIED")&gt;0,1,0))</f>
        <v>0</v>
      </c>
      <c r="D2108" s="21" t="n">
        <f aca="false">C2108*B2108</f>
        <v>0</v>
      </c>
    </row>
    <row r="2109" customFormat="false" ht="15" hidden="false" customHeight="false" outlineLevel="0" collapsed="false">
      <c r="A2109" s="26" t="str">
        <f aca="false">'OCTMS Risk Map'!A107</f>
        <v>M47</v>
      </c>
      <c r="B2109" s="28" t="n">
        <f aca="false">'OCTMS Risk Map'!C107</f>
        <v>3</v>
      </c>
      <c r="C2109" s="21" t="n">
        <f aca="false">IF(OR($AG$5=0,$AG$6=0),0,IF(COUNTIFS(INDEX($A$3:$AD$2002,0,$AG$5),A2109,INDEX($A$3:$AD$2002,0,$AG$6),"NON-COMPLIED")&gt;0,1,0))</f>
        <v>0</v>
      </c>
      <c r="D2109" s="21" t="n">
        <f aca="false">C2109*B2109</f>
        <v>0</v>
      </c>
    </row>
    <row r="2110" customFormat="false" ht="15" hidden="false" customHeight="false" outlineLevel="0" collapsed="false">
      <c r="A2110" s="26" t="str">
        <f aca="false">'OCTMS Risk Map'!A108</f>
        <v>M48</v>
      </c>
      <c r="B2110" s="28" t="n">
        <f aca="false">'OCTMS Risk Map'!C108</f>
        <v>1</v>
      </c>
      <c r="C2110" s="21" t="n">
        <f aca="false">IF(OR($AG$5=0,$AG$6=0),0,IF(COUNTIFS(INDEX($A$3:$AD$2002,0,$AG$5),A2110,INDEX($A$3:$AD$2002,0,$AG$6),"NON-COMPLIED")&gt;0,1,0))</f>
        <v>0</v>
      </c>
      <c r="D2110" s="21" t="n">
        <f aca="false">C2110*B2110</f>
        <v>0</v>
      </c>
    </row>
    <row r="2111" customFormat="false" ht="15" hidden="false" customHeight="false" outlineLevel="0" collapsed="false">
      <c r="A2111" s="26" t="str">
        <f aca="false">'OCTMS Risk Map'!A109</f>
        <v>M49</v>
      </c>
      <c r="B2111" s="28" t="n">
        <f aca="false">'OCTMS Risk Map'!C109</f>
        <v>3</v>
      </c>
      <c r="C2111" s="21" t="n">
        <f aca="false">IF(OR($AG$5=0,$AG$6=0),0,IF(COUNTIFS(INDEX($A$3:$AD$2002,0,$AG$5),A2111,INDEX($A$3:$AD$2002,0,$AG$6),"NON-COMPLIED")&gt;0,1,0))</f>
        <v>0</v>
      </c>
      <c r="D2111" s="21" t="n">
        <f aca="false">C2111*B2111</f>
        <v>0</v>
      </c>
    </row>
    <row r="2112" customFormat="false" ht="15" hidden="false" customHeight="false" outlineLevel="0" collapsed="false">
      <c r="A2112" s="26" t="str">
        <f aca="false">'OCTMS Risk Map'!A110</f>
        <v>M50</v>
      </c>
      <c r="B2112" s="28" t="n">
        <f aca="false">'OCTMS Risk Map'!C110</f>
        <v>2</v>
      </c>
      <c r="C2112" s="21" t="n">
        <f aca="false">IF(OR($AG$5=0,$AG$6=0),0,IF(COUNTIFS(INDEX($A$3:$AD$2002,0,$AG$5),A2112,INDEX($A$3:$AD$2002,0,$AG$6),"NON-COMPLIED")&gt;0,1,0))</f>
        <v>0</v>
      </c>
      <c r="D2112" s="21" t="n">
        <f aca="false">C2112*B2112</f>
        <v>0</v>
      </c>
    </row>
    <row r="2113" customFormat="false" ht="15" hidden="false" customHeight="false" outlineLevel="0" collapsed="false">
      <c r="A2113" s="26" t="str">
        <f aca="false">'OCTMS Risk Map'!A111</f>
        <v>M51</v>
      </c>
      <c r="B2113" s="28" t="n">
        <f aca="false">'OCTMS Risk Map'!C111</f>
        <v>3</v>
      </c>
      <c r="C2113" s="21" t="n">
        <f aca="false">IF(OR($AG$5=0,$AG$6=0),0,IF(COUNTIFS(INDEX($A$3:$AD$2002,0,$AG$5),A2113,INDEX($A$3:$AD$2002,0,$AG$6),"NON-COMPLIED")&gt;0,1,0))</f>
        <v>0</v>
      </c>
      <c r="D2113" s="21" t="n">
        <f aca="false">C2113*B2113</f>
        <v>0</v>
      </c>
    </row>
    <row r="2114" customFormat="false" ht="15" hidden="false" customHeight="false" outlineLevel="0" collapsed="false">
      <c r="A2114" s="26" t="str">
        <f aca="false">'OCTMS Risk Map'!A112</f>
        <v>M52</v>
      </c>
      <c r="B2114" s="28" t="n">
        <f aca="false">'OCTMS Risk Map'!C112</f>
        <v>1</v>
      </c>
      <c r="C2114" s="21" t="n">
        <f aca="false">IF(OR($AG$5=0,$AG$6=0),0,IF(COUNTIFS(INDEX($A$3:$AD$2002,0,$AG$5),A2114,INDEX($A$3:$AD$2002,0,$AG$6),"NON-COMPLIED")&gt;0,1,0))</f>
        <v>0</v>
      </c>
      <c r="D2114" s="21" t="n">
        <f aca="false">C2114*B2114</f>
        <v>0</v>
      </c>
    </row>
    <row r="2115" customFormat="false" ht="15" hidden="false" customHeight="false" outlineLevel="0" collapsed="false">
      <c r="A2115" s="26" t="str">
        <f aca="false">'OCTMS Risk Map'!A113</f>
        <v>M53</v>
      </c>
      <c r="B2115" s="28" t="n">
        <f aca="false">'OCTMS Risk Map'!C113</f>
        <v>3</v>
      </c>
      <c r="C2115" s="21" t="n">
        <f aca="false">IF(OR($AG$5=0,$AG$6=0),0,IF(COUNTIFS(INDEX($A$3:$AD$2002,0,$AG$5),A2115,INDEX($A$3:$AD$2002,0,$AG$6),"NON-COMPLIED")&gt;0,1,0))</f>
        <v>0</v>
      </c>
      <c r="D2115" s="21" t="n">
        <f aca="false">C2115*B2115</f>
        <v>0</v>
      </c>
    </row>
    <row r="2116" customFormat="false" ht="15" hidden="false" customHeight="false" outlineLevel="0" collapsed="false">
      <c r="A2116" s="26" t="str">
        <f aca="false">'OCTMS Risk Map'!A114</f>
        <v>M54</v>
      </c>
      <c r="B2116" s="28" t="n">
        <f aca="false">'OCTMS Risk Map'!C114</f>
        <v>2</v>
      </c>
      <c r="C2116" s="21" t="n">
        <f aca="false">IF(OR($AG$5=0,$AG$6=0),0,IF(COUNTIFS(INDEX($A$3:$AD$2002,0,$AG$5),A2116,INDEX($A$3:$AD$2002,0,$AG$6),"NON-COMPLIED")&gt;0,1,0))</f>
        <v>0</v>
      </c>
      <c r="D2116" s="21" t="n">
        <f aca="false">C2116*B2116</f>
        <v>0</v>
      </c>
    </row>
    <row r="2117" customFormat="false" ht="15" hidden="false" customHeight="false" outlineLevel="0" collapsed="false">
      <c r="A2117" s="26" t="str">
        <f aca="false">'OCTMS Risk Map'!A115</f>
        <v>M55</v>
      </c>
      <c r="B2117" s="28" t="n">
        <f aca="false">'OCTMS Risk Map'!C115</f>
        <v>2</v>
      </c>
      <c r="C2117" s="21" t="n">
        <f aca="false">IF(OR($AG$5=0,$AG$6=0),0,IF(COUNTIFS(INDEX($A$3:$AD$2002,0,$AG$5),A2117,INDEX($A$3:$AD$2002,0,$AG$6),"NON-COMPLIED")&gt;0,1,0))</f>
        <v>0</v>
      </c>
      <c r="D2117" s="21" t="n">
        <f aca="false">C2117*B2117</f>
        <v>0</v>
      </c>
    </row>
    <row r="2118" customFormat="false" ht="15" hidden="false" customHeight="false" outlineLevel="0" collapsed="false">
      <c r="A2118" s="26" t="str">
        <f aca="false">'OCTMS Risk Map'!A116</f>
        <v>M56</v>
      </c>
      <c r="B2118" s="28" t="n">
        <f aca="false">'OCTMS Risk Map'!C116</f>
        <v>2</v>
      </c>
      <c r="C2118" s="21" t="n">
        <f aca="false">IF(OR($AG$5=0,$AG$6=0),0,IF(COUNTIFS(INDEX($A$3:$AD$2002,0,$AG$5),A2118,INDEX($A$3:$AD$2002,0,$AG$6),"NON-COMPLIED")&gt;0,1,0))</f>
        <v>0</v>
      </c>
      <c r="D2118" s="21" t="n">
        <f aca="false">C2118*B2118</f>
        <v>0</v>
      </c>
    </row>
    <row r="2119" customFormat="false" ht="15" hidden="false" customHeight="false" outlineLevel="0" collapsed="false">
      <c r="A2119" s="26" t="str">
        <f aca="false">'OCTMS Risk Map'!A117</f>
        <v>M57</v>
      </c>
      <c r="B2119" s="28" t="n">
        <f aca="false">'OCTMS Risk Map'!C117</f>
        <v>2</v>
      </c>
      <c r="C2119" s="21" t="n">
        <f aca="false">IF(OR($AG$5=0,$AG$6=0),0,IF(COUNTIFS(INDEX($A$3:$AD$2002,0,$AG$5),A2119,INDEX($A$3:$AD$2002,0,$AG$6),"NON-COMPLIED")&gt;0,1,0))</f>
        <v>0</v>
      </c>
      <c r="D2119" s="21" t="n">
        <f aca="false">C2119*B2119</f>
        <v>0</v>
      </c>
    </row>
    <row r="2120" customFormat="false" ht="15" hidden="false" customHeight="false" outlineLevel="0" collapsed="false">
      <c r="A2120" s="26" t="str">
        <f aca="false">'OCTMS Risk Map'!A118</f>
        <v>M58</v>
      </c>
      <c r="B2120" s="28" t="n">
        <f aca="false">'OCTMS Risk Map'!C118</f>
        <v>2</v>
      </c>
      <c r="C2120" s="21" t="n">
        <f aca="false">IF(OR($AG$5=0,$AG$6=0),0,IF(COUNTIFS(INDEX($A$3:$AD$2002,0,$AG$5),A2120,INDEX($A$3:$AD$2002,0,$AG$6),"NON-COMPLIED")&gt;0,1,0))</f>
        <v>0</v>
      </c>
      <c r="D2120" s="21" t="n">
        <f aca="false">C2120*B2120</f>
        <v>0</v>
      </c>
    </row>
    <row r="2121" customFormat="false" ht="15" hidden="false" customHeight="false" outlineLevel="0" collapsed="false">
      <c r="A2121" s="26" t="str">
        <f aca="false">'OCTMS Risk Map'!A119</f>
        <v>M59</v>
      </c>
      <c r="B2121" s="28" t="n">
        <f aca="false">'OCTMS Risk Map'!C119</f>
        <v>1</v>
      </c>
      <c r="C2121" s="21" t="n">
        <f aca="false">IF(OR($AG$5=0,$AG$6=0),0,IF(COUNTIFS(INDEX($A$3:$AD$2002,0,$AG$5),A2121,INDEX($A$3:$AD$2002,0,$AG$6),"NON-COMPLIED")&gt;0,1,0))</f>
        <v>0</v>
      </c>
      <c r="D2121" s="21" t="n">
        <f aca="false">C2121*B2121</f>
        <v>0</v>
      </c>
    </row>
    <row r="2122" customFormat="false" ht="15" hidden="false" customHeight="false" outlineLevel="0" collapsed="false">
      <c r="A2122" s="26" t="str">
        <f aca="false">'OCTMS Risk Map'!A120</f>
        <v>M60</v>
      </c>
      <c r="B2122" s="28" t="n">
        <f aca="false">'OCTMS Risk Map'!C120</f>
        <v>3</v>
      </c>
      <c r="C2122" s="21" t="n">
        <f aca="false">IF(OR($AG$5=0,$AG$6=0),0,IF(COUNTIFS(INDEX($A$3:$AD$2002,0,$AG$5),A2122,INDEX($A$3:$AD$2002,0,$AG$6),"NON-COMPLIED")&gt;0,1,0))</f>
        <v>0</v>
      </c>
      <c r="D2122" s="21" t="n">
        <f aca="false">C2122*B2122</f>
        <v>0</v>
      </c>
    </row>
    <row r="2123" customFormat="false" ht="15" hidden="false" customHeight="false" outlineLevel="0" collapsed="false">
      <c r="A2123" s="26" t="str">
        <f aca="false">'OCTMS Risk Map'!A121</f>
        <v>M61</v>
      </c>
      <c r="B2123" s="28" t="n">
        <f aca="false">'OCTMS Risk Map'!C121</f>
        <v>3</v>
      </c>
      <c r="C2123" s="21" t="n">
        <f aca="false">IF(OR($AG$5=0,$AG$6=0),0,IF(COUNTIFS(INDEX($A$3:$AD$2002,0,$AG$5),A2123,INDEX($A$3:$AD$2002,0,$AG$6),"NON-COMPLIED")&gt;0,1,0))</f>
        <v>0</v>
      </c>
      <c r="D2123" s="21" t="n">
        <f aca="false">C2123*B2123</f>
        <v>0</v>
      </c>
    </row>
    <row r="2124" customFormat="false" ht="15" hidden="false" customHeight="false" outlineLevel="0" collapsed="false">
      <c r="A2124" s="26" t="str">
        <f aca="false">'OCTMS Risk Map'!A122</f>
        <v>M62</v>
      </c>
      <c r="B2124" s="28" t="n">
        <f aca="false">'OCTMS Risk Map'!C122</f>
        <v>3</v>
      </c>
      <c r="C2124" s="21" t="n">
        <f aca="false">IF(OR($AG$5=0,$AG$6=0),0,IF(COUNTIFS(INDEX($A$3:$AD$2002,0,$AG$5),A2124,INDEX($A$3:$AD$2002,0,$AG$6),"NON-COMPLIED")&gt;0,1,0))</f>
        <v>0</v>
      </c>
      <c r="D2124" s="21" t="n">
        <f aca="false">C2124*B2124</f>
        <v>0</v>
      </c>
    </row>
    <row r="2125" customFormat="false" ht="15" hidden="false" customHeight="false" outlineLevel="0" collapsed="false">
      <c r="A2125" s="26" t="str">
        <f aca="false">'OCTMS Risk Map'!A123</f>
        <v>M63</v>
      </c>
      <c r="B2125" s="28" t="n">
        <f aca="false">'OCTMS Risk Map'!C123</f>
        <v>2</v>
      </c>
      <c r="C2125" s="21" t="n">
        <f aca="false">IF(OR($AG$5=0,$AG$6=0),0,IF(COUNTIFS(INDEX($A$3:$AD$2002,0,$AG$5),A2125,INDEX($A$3:$AD$2002,0,$AG$6),"NON-COMPLIED")&gt;0,1,0))</f>
        <v>0</v>
      </c>
      <c r="D2125" s="21" t="n">
        <f aca="false">C2125*B2125</f>
        <v>0</v>
      </c>
    </row>
    <row r="2126" customFormat="false" ht="15" hidden="false" customHeight="false" outlineLevel="0" collapsed="false">
      <c r="A2126" s="26" t="str">
        <f aca="false">'OCTMS Risk Map'!A124</f>
        <v>M64</v>
      </c>
      <c r="B2126" s="28" t="n">
        <f aca="false">'OCTMS Risk Map'!C124</f>
        <v>1</v>
      </c>
      <c r="C2126" s="21" t="n">
        <f aca="false">IF(OR($AG$5=0,$AG$6=0),0,IF(COUNTIFS(INDEX($A$3:$AD$2002,0,$AG$5),A2126,INDEX($A$3:$AD$2002,0,$AG$6),"NON-COMPLIED")&gt;0,1,0))</f>
        <v>0</v>
      </c>
      <c r="D2126" s="21" t="n">
        <f aca="false">C2126*B2126</f>
        <v>0</v>
      </c>
    </row>
    <row r="2127" customFormat="false" ht="15" hidden="false" customHeight="false" outlineLevel="0" collapsed="false">
      <c r="A2127" s="26" t="str">
        <f aca="false">'OCTMS Risk Map'!A125</f>
        <v>M65</v>
      </c>
      <c r="B2127" s="28" t="n">
        <f aca="false">'OCTMS Risk Map'!C125</f>
        <v>1</v>
      </c>
      <c r="C2127" s="21" t="n">
        <f aca="false">IF(OR($AG$5=0,$AG$6=0),0,IF(COUNTIFS(INDEX($A$3:$AD$2002,0,$AG$5),A2127,INDEX($A$3:$AD$2002,0,$AG$6),"NON-COMPLIED")&gt;0,1,0))</f>
        <v>0</v>
      </c>
      <c r="D2127" s="21" t="n">
        <f aca="false">C2127*B2127</f>
        <v>0</v>
      </c>
    </row>
    <row r="2128" customFormat="false" ht="15" hidden="false" customHeight="false" outlineLevel="0" collapsed="false">
      <c r="A2128" s="26" t="str">
        <f aca="false">'OCTMS Risk Map'!A126</f>
        <v>N1</v>
      </c>
      <c r="B2128" s="28" t="n">
        <f aca="false">'OCTMS Risk Map'!C126</f>
        <v>3</v>
      </c>
      <c r="C2128" s="21" t="n">
        <f aca="false">IF(OR($AG$5=0,$AG$6=0),0,IF(COUNTIFS(INDEX($A$3:$AD$2002,0,$AG$5),A2128,INDEX($A$3:$AD$2002,0,$AG$6),"NON-COMPLIED")&gt;0,1,0))</f>
        <v>0</v>
      </c>
      <c r="D2128" s="21" t="n">
        <f aca="false">C2128*B2128</f>
        <v>0</v>
      </c>
    </row>
    <row r="2129" customFormat="false" ht="15" hidden="false" customHeight="false" outlineLevel="0" collapsed="false">
      <c r="A2129" s="26" t="str">
        <f aca="false">'OCTMS Risk Map'!A127</f>
        <v>N2</v>
      </c>
      <c r="B2129" s="28" t="n">
        <f aca="false">'OCTMS Risk Map'!C127</f>
        <v>3</v>
      </c>
      <c r="C2129" s="21" t="n">
        <f aca="false">IF(OR($AG$5=0,$AG$6=0),0,IF(COUNTIFS(INDEX($A$3:$AD$2002,0,$AG$5),A2129,INDEX($A$3:$AD$2002,0,$AG$6),"NON-COMPLIED")&gt;0,1,0))</f>
        <v>0</v>
      </c>
      <c r="D2129" s="21" t="n">
        <f aca="false">C2129*B2129</f>
        <v>0</v>
      </c>
    </row>
    <row r="2130" customFormat="false" ht="15" hidden="false" customHeight="false" outlineLevel="0" collapsed="false">
      <c r="A2130" s="26" t="str">
        <f aca="false">'OCTMS Risk Map'!A128</f>
        <v>N3</v>
      </c>
      <c r="B2130" s="28" t="n">
        <f aca="false">'OCTMS Risk Map'!C128</f>
        <v>3</v>
      </c>
      <c r="C2130" s="21" t="n">
        <f aca="false">IF(OR($AG$5=0,$AG$6=0),0,IF(COUNTIFS(INDEX($A$3:$AD$2002,0,$AG$5),A2130,INDEX($A$3:$AD$2002,0,$AG$6),"NON-COMPLIED")&gt;0,1,0))</f>
        <v>0</v>
      </c>
      <c r="D2130" s="21" t="n">
        <f aca="false">C2130*B2130</f>
        <v>0</v>
      </c>
    </row>
    <row r="2131" customFormat="false" ht="15" hidden="false" customHeight="false" outlineLevel="0" collapsed="false">
      <c r="A2131" s="26" t="str">
        <f aca="false">'OCTMS Risk Map'!A129</f>
        <v>N4</v>
      </c>
      <c r="B2131" s="28" t="n">
        <f aca="false">'OCTMS Risk Map'!C129</f>
        <v>3</v>
      </c>
      <c r="C2131" s="21" t="n">
        <f aca="false">IF(OR($AG$5=0,$AG$6=0),0,IF(COUNTIFS(INDEX($A$3:$AD$2002,0,$AG$5),A2131,INDEX($A$3:$AD$2002,0,$AG$6),"NON-COMPLIED")&gt;0,1,0))</f>
        <v>0</v>
      </c>
      <c r="D2131" s="21" t="n">
        <f aca="false">C2131*B2131</f>
        <v>0</v>
      </c>
    </row>
    <row r="2133" customFormat="false" ht="43.25" hidden="false" customHeight="false" outlineLevel="0" collapsed="false">
      <c r="A2133" s="5" t="s">
        <v>286</v>
      </c>
      <c r="D2133" s="21" t="n">
        <f aca="false">IF(OR($AG$5=0,$AG$6=0),0,SUMPRODUCT((INDEX($A$3:$AD$2002,0,$AG$6)="NON-COMPLIED")*(INDEX($A$3:$AD$2002,0,$AG$5)&lt;&gt;"")*ISNA(MATCH(INDEX($A$3:$AD$2002,0,$AG$5),$A$2006:$A$2131,0))))</f>
        <v>0</v>
      </c>
    </row>
    <row r="2135" customFormat="false" ht="15" hidden="false" customHeight="false" outlineLevel="0" collapsed="false">
      <c r="A2135" s="6" t="s">
        <v>287</v>
      </c>
      <c r="B2135" s="7"/>
      <c r="C2135" s="7"/>
    </row>
    <row r="2136" customFormat="false" ht="15" hidden="false" customHeight="false" outlineLevel="0" collapsed="false">
      <c r="A2136" s="8" t="s">
        <v>267</v>
      </c>
      <c r="B2136" s="16" t="n">
        <f aca="false">SUM(D2006:D2131)</f>
        <v>0</v>
      </c>
    </row>
    <row r="2137" customFormat="false" ht="15" hidden="false" customHeight="false" outlineLevel="0" collapsed="false">
      <c r="A2137" s="8" t="s">
        <v>268</v>
      </c>
      <c r="B2137" s="24" t="n">
        <v>302</v>
      </c>
    </row>
    <row r="2138" customFormat="false" ht="15" hidden="false" customHeight="false" outlineLevel="0" collapsed="false">
      <c r="A2138" s="8" t="s">
        <v>269</v>
      </c>
      <c r="B2138" s="25" t="n">
        <f aca="false">1-(B2136/B2137)</f>
        <v>1</v>
      </c>
    </row>
    <row r="2139" customFormat="false" ht="15" hidden="false" customHeight="false" outlineLevel="0" collapsed="false">
      <c r="A2139" s="13" t="s">
        <v>270</v>
      </c>
      <c r="B2139" s="14" t="n">
        <f aca="false">MIN(1,MAX(0,ROUND(B2138,2)))</f>
        <v>1</v>
      </c>
    </row>
    <row r="2141" customFormat="false" ht="15" hidden="false" customHeight="false" outlineLevel="0" collapsed="false">
      <c r="A2141" s="8" t="s">
        <v>271</v>
      </c>
      <c r="B2141" s="26" t="n">
        <f aca="false">Calculator!$B$6</f>
        <v>55</v>
      </c>
    </row>
    <row r="2142" customFormat="false" ht="15" hidden="false" customHeight="false" outlineLevel="0" collapsed="false">
      <c r="A2142" s="8" t="s">
        <v>288</v>
      </c>
      <c r="B2142" s="16" t="n">
        <f aca="false">SUM(AH3:AH2002)</f>
        <v>0</v>
      </c>
    </row>
    <row r="2143" customFormat="false" ht="15" hidden="false" customHeight="false" outlineLevel="0" collapsed="false">
      <c r="A2143" s="8" t="s">
        <v>273</v>
      </c>
      <c r="B2143" s="25" t="n">
        <f aca="false">1-(B2142/B2141)</f>
        <v>1</v>
      </c>
    </row>
    <row r="2144" customFormat="false" ht="15" hidden="false" customHeight="false" outlineLevel="0" collapsed="false">
      <c r="A2144" s="13" t="s">
        <v>274</v>
      </c>
      <c r="B2144" s="14" t="n">
        <f aca="false">MIN(1,MAX(0,ROUND(B2143,2)))</f>
        <v>1</v>
      </c>
    </row>
  </sheetData>
  <mergeCells count="1">
    <mergeCell ref="AF1:A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2026-09-30T10:45:50Z</dcterms:created>
  <dc:creator>openpyxl</dc:creator>
  <dc:description/>
  <dc:language>en-US</dc:language>
  <cp:lastModifiedBy/>
  <dcterms:modified xsi:type="dcterms:W3CDTF">2026-09-30T10:45:50Z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