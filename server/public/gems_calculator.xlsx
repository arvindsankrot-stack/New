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alculator" sheetId="2" state="visible" r:id="rId4"/>
    <sheet name="OCRMS Risk Map" sheetId="3" state="visible" r:id="rId5"/>
    <sheet name="OCTMS Risk Map" sheetId="4" state="visible" r:id="rId6"/>
    <sheet name="OCRMS Data" sheetId="5" state="visible" r:id="rId7"/>
    <sheet name="OCTMS Dat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14" authorId="0">
      <text>
        <r>
          <rPr>
            <sz val="10"/>
            <rFont val="Arial"/>
            <family val="2"/>
          </rPr>
          <t xml:space="preserve">Fixed value from BCC:COMPLIANCE:118/993, Annexure-I total risk score.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2" authorId="0">
      <text>
        <r>
          <rPr>
            <sz val="10"/>
            <rFont val="Arial"/>
            <family val="2"/>
          </rPr>
          <t xml:space="preserve">Fixed value from BCC:COMPLIANCE:118/993, Annexure-III total risk score.</t>
        </r>
      </text>
    </comment>
  </commentList>
</comments>
</file>

<file path=xl/sharedStrings.xml><?xml version="1.0" encoding="utf-8"?>
<sst xmlns="http://schemas.openxmlformats.org/spreadsheetml/2006/main" count="502" uniqueCount="287">
  <si>
    <t xml:space="preserve">GEMS Compliance Marks Calculator</t>
  </si>
  <si>
    <t xml:space="preserve">Region / Zone level — OCRMS (off-site) &amp; OCTMS (on-site) scoring per BCC:COMPLIANCE:118/993 (FY 2026-27)</t>
  </si>
  <si>
    <t xml:space="preserve">HOW TO USE</t>
  </si>
  <si>
    <t xml:space="preserve">1. Export your OCRMS pivot report from your compliance system (branches as rows, parameter codes as column headers, a Grand Total column at the end — the same shape your system already produces).</t>
  </si>
  <si>
    <t xml:space="preserve">2. Open the "OCRMS Data" tab. Delete the sample row (row 6) and paste your export starting at cell A5 (the header row with "Row Labels" / parameter codes) — the yellow area is where pasted data goes.</t>
  </si>
  <si>
    <t xml:space="preserve">3. Do the same on the "OCTMS Data" tab with your OCTMS export — note this report is the other way round: parameter codes as rows, branch codes as columns.</t>
  </si>
  <si>
    <t xml:space="preserve">4. Go to the "Calculator" tab and fill in the yellow input cells: total branches in the region, your grade, CERMO-Nxt %, penalty marks, Compliance Forum and AEOA status, and the Part C (ATR closure) counts.</t>
  </si>
  <si>
    <t xml:space="preserve">5. The Grand Total (out of 10) updates automatically as you fill things in.</t>
  </si>
  <si>
    <t xml:space="preserve">CELL COLOUR KEY</t>
  </si>
  <si>
    <t xml:space="preserve">  Blue text on pale yellow  =  type your own value here</t>
  </si>
  <si>
    <t xml:space="preserve">  Black text                =  formula — do not overwrite</t>
  </si>
  <si>
    <t xml:space="preserve">  Green text                 =  a link pulling a value from another sheet</t>
  </si>
  <si>
    <t xml:space="preserve">WHAT EACH SHEET DOES</t>
  </si>
  <si>
    <t xml:space="preserve">  Calculator       Your inputs and the final marks (this is the only sheet most people need to touch).</t>
  </si>
  <si>
    <t xml:space="preserve">  OCRMS Data       Paste your OCRMS pivot export here. Auto-scores Part A and Part B for OCRMS.</t>
  </si>
  <si>
    <t xml:space="preserve">  OCTMS Data       Paste your OCTMS pivot export here. Auto-scores Part A and Part B for OCTMS.</t>
  </si>
  <si>
    <t xml:space="preserve">  OCRMS Risk Map   Reference table: all 67 Annexure-I parameters and their risk weights. Do not edit.</t>
  </si>
  <si>
    <t xml:space="preserve">  OCTMS Risk Map   Reference table: all 126 Annexure-III parameters and their risk weights. Do not edit.</t>
  </si>
  <si>
    <t xml:space="preserve">NOTES</t>
  </si>
  <si>
    <t xml:space="preserve">  - Part A treats a parameter as "hit" if ANY branch shows a non-compliance count above zero in it.</t>
  </si>
  <si>
    <t xml:space="preserve">  - Part B for OCRMS only counts a branch as non-complied if it hit a HIGH-risk parameter; OCTMS counts a branch as non-complied if it hit ANY parameter — this matches the circular text.</t>
  </si>
  <si>
    <t xml:space="preserve">  - "Total branches in the Region" is a separate manual entry because a fully-compliant branch will not appear as a row in a non-compliance pivot report at all.</t>
  </si>
  <si>
    <t xml:space="preserve">  - This workbook has no macros and needs no internet connection — safe to use on a locked-down machine.</t>
  </si>
  <si>
    <t xml:space="preserve">Fill in the yellow cells. Everything else updates automatically.</t>
  </si>
  <si>
    <t xml:space="preserve">REGION SETUP</t>
  </si>
  <si>
    <t xml:space="preserve">Total branches in the Region</t>
  </si>
  <si>
    <t xml:space="preserve">Used as the denominator for Part B in both OCRMS and OCTMS.</t>
  </si>
  <si>
    <t xml:space="preserve">OCRMS — OFF-SITE (max 3)</t>
  </si>
  <si>
    <t xml:space="preserve">Part A — Parameter Risk Score (auto)</t>
  </si>
  <si>
    <t xml:space="preserve">Part B — Non-complied Branches (auto)</t>
  </si>
  <si>
    <t xml:space="preserve">Part C — initial non-complied instances</t>
  </si>
  <si>
    <t xml:space="preserve">Part C — closed &amp; verified (month end)</t>
  </si>
  <si>
    <t xml:space="preserve">Part C — ATR Closure (auto)</t>
  </si>
  <si>
    <t xml:space="preserve">OCRMS TOTAL (/3)</t>
  </si>
  <si>
    <t xml:space="preserve">OCTMS — ON-SITE (max 3)</t>
  </si>
  <si>
    <t xml:space="preserve">Part C — closed &amp; verified (60th day)</t>
  </si>
  <si>
    <t xml:space="preserve">OCTMS TOTAL (/3)</t>
  </si>
  <si>
    <t xml:space="preserve">OTHER KRA ITEMS</t>
  </si>
  <si>
    <t xml:space="preserve">Grade</t>
  </si>
  <si>
    <t xml:space="preserve">Regional Head / DRM</t>
  </si>
  <si>
    <t xml:space="preserve">CERMO-Nxt compliance level (%)</t>
  </si>
  <si>
    <t xml:space="preserve">Regulatory penalty marks — month 1 / 2 / 3</t>
  </si>
  <si>
    <t xml:space="preserve">Compliance Forum Meeting held &amp; reported?</t>
  </si>
  <si>
    <t xml:space="preserve">Yes</t>
  </si>
  <si>
    <t xml:space="preserve">AEOA Scheme data submitted to RCO? (Regional Head/DRM only)</t>
  </si>
  <si>
    <t xml:space="preserve">Forum max (role-based)</t>
  </si>
  <si>
    <t xml:space="preserve">AEOA applies?</t>
  </si>
  <si>
    <t xml:space="preserve">Cermo marks (0-1)</t>
  </si>
  <si>
    <t xml:space="preserve">Penalty marks (avg)</t>
  </si>
  <si>
    <t xml:space="preserve">Forum marks</t>
  </si>
  <si>
    <t xml:space="preserve">AEOA marks</t>
  </si>
  <si>
    <t xml:space="preserve">TOTALS</t>
  </si>
  <si>
    <t xml:space="preserve">OCRMS bucket (Total + Cermo + AEOA)</t>
  </si>
  <si>
    <t xml:space="preserve">OCTMS bucket (Total + Penalty + Forum)</t>
  </si>
  <si>
    <t xml:space="preserve">GRAND TOTAL (out of 10)</t>
  </si>
  <si>
    <t xml:space="preserve">/ 10</t>
  </si>
  <si>
    <t xml:space="preserve">Annexure-I — OCRMS parameter risk weights (reference only, do not edit)</t>
  </si>
  <si>
    <t xml:space="preserve">Parameter Code</t>
  </si>
  <si>
    <t xml:space="preserve">Risk Rating</t>
  </si>
  <si>
    <t xml:space="preserve">Weight</t>
  </si>
  <si>
    <t xml:space="preserve">PARAMETER-001</t>
  </si>
  <si>
    <t xml:space="preserve">L</t>
  </si>
  <si>
    <t xml:space="preserve">PARAMETER-002</t>
  </si>
  <si>
    <t xml:space="preserve">PARAMETER-003</t>
  </si>
  <si>
    <t xml:space="preserve">H</t>
  </si>
  <si>
    <t xml:space="preserve">PARAMETER-005</t>
  </si>
  <si>
    <t xml:space="preserve">M</t>
  </si>
  <si>
    <t xml:space="preserve">PARAMETER-006</t>
  </si>
  <si>
    <t xml:space="preserve">PARAMETER-007</t>
  </si>
  <si>
    <t xml:space="preserve">PARAMETER-008</t>
  </si>
  <si>
    <t xml:space="preserve">PARAMETER-009</t>
  </si>
  <si>
    <t xml:space="preserve">PARAMETER-010</t>
  </si>
  <si>
    <t xml:space="preserve">PARAMETER-011</t>
  </si>
  <si>
    <t xml:space="preserve">PARAMETER-012</t>
  </si>
  <si>
    <t xml:space="preserve">PARAMETER-014</t>
  </si>
  <si>
    <t xml:space="preserve">PARAMETER-016</t>
  </si>
  <si>
    <t xml:space="preserve">PARAMETER-017</t>
  </si>
  <si>
    <t xml:space="preserve">PARAMETER-018</t>
  </si>
  <si>
    <t xml:space="preserve">PARAMETER-019</t>
  </si>
  <si>
    <t xml:space="preserve">PARAMETER-020</t>
  </si>
  <si>
    <t xml:space="preserve">PARAMETER-021</t>
  </si>
  <si>
    <t xml:space="preserve">PARAMETER-022</t>
  </si>
  <si>
    <t xml:space="preserve">PARAMETER-023</t>
  </si>
  <si>
    <t xml:space="preserve">PARAMETER-024</t>
  </si>
  <si>
    <t xml:space="preserve">PARAMETER-026</t>
  </si>
  <si>
    <t xml:space="preserve">PARAMETER-027</t>
  </si>
  <si>
    <t xml:space="preserve">PARAMETER-028</t>
  </si>
  <si>
    <t xml:space="preserve">PARAMETER-029</t>
  </si>
  <si>
    <t xml:space="preserve">PARAMETER-031</t>
  </si>
  <si>
    <t xml:space="preserve">PARAMETER-033</t>
  </si>
  <si>
    <t xml:space="preserve">PARAMETER-034</t>
  </si>
  <si>
    <t xml:space="preserve">PARAMETER-035</t>
  </si>
  <si>
    <t xml:space="preserve">PARAMETER-041</t>
  </si>
  <si>
    <t xml:space="preserve">PARAMETER-042</t>
  </si>
  <si>
    <t xml:space="preserve">PARAMETER-044</t>
  </si>
  <si>
    <t xml:space="preserve">PARAMETER-047</t>
  </si>
  <si>
    <t xml:space="preserve">PARAMETER-048</t>
  </si>
  <si>
    <t xml:space="preserve">PARAMETER-051</t>
  </si>
  <si>
    <t xml:space="preserve">PARAMETER-052</t>
  </si>
  <si>
    <t xml:space="preserve">PARAMETER-053</t>
  </si>
  <si>
    <t xml:space="preserve">PARAMETER-054</t>
  </si>
  <si>
    <t xml:space="preserve">PARAMETER-055</t>
  </si>
  <si>
    <t xml:space="preserve">PARAMETER-056</t>
  </si>
  <si>
    <t xml:space="preserve">PARAMETER-057</t>
  </si>
  <si>
    <t xml:space="preserve">PARAMETER-058</t>
  </si>
  <si>
    <t xml:space="preserve">PARAMETER-060</t>
  </si>
  <si>
    <t xml:space="preserve">PARAMETER-061</t>
  </si>
  <si>
    <t xml:space="preserve">PARAMETER-062</t>
  </si>
  <si>
    <t xml:space="preserve">PARAMETER-063</t>
  </si>
  <si>
    <t xml:space="preserve">PARAMETER-064</t>
  </si>
  <si>
    <t xml:space="preserve">PARAMETER-065</t>
  </si>
  <si>
    <t xml:space="preserve">PARAMETER-066</t>
  </si>
  <si>
    <t xml:space="preserve">PARAMETER-067</t>
  </si>
  <si>
    <t xml:space="preserve">PARAMETER-068</t>
  </si>
  <si>
    <t xml:space="preserve">PARAMETER-069</t>
  </si>
  <si>
    <t xml:space="preserve">PARAMETER-070</t>
  </si>
  <si>
    <t xml:space="preserve">PARAMETER-071</t>
  </si>
  <si>
    <t xml:space="preserve">PARAMETER-072</t>
  </si>
  <si>
    <t xml:space="preserve">PARAMETER-073</t>
  </si>
  <si>
    <t xml:space="preserve">PARAMETER-074</t>
  </si>
  <si>
    <t xml:space="preserve">PARAMETER-075</t>
  </si>
  <si>
    <t xml:space="preserve">PARAMETER-076</t>
  </si>
  <si>
    <t xml:space="preserve">PARAMETER-077</t>
  </si>
  <si>
    <t xml:space="preserve">PARAMETER-078</t>
  </si>
  <si>
    <t xml:space="preserve">PARAMETER-079</t>
  </si>
  <si>
    <t xml:space="preserve">PARAMETER-080</t>
  </si>
  <si>
    <t xml:space="preserve">PARAMETER-081</t>
  </si>
  <si>
    <t xml:space="preserve">PARAMETER-082</t>
  </si>
  <si>
    <t xml:space="preserve">PARAMETER-083</t>
  </si>
  <si>
    <t xml:space="preserve">PARAMETER-084</t>
  </si>
  <si>
    <t xml:space="preserve">Total risk denominator (fixed, per circular): 139</t>
  </si>
  <si>
    <t xml:space="preserve">Annexure-III — OCTMS parameter risk weights (reference only, do not edit)</t>
  </si>
  <si>
    <t xml:space="preserve">A1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</si>
  <si>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</si>
  <si>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</si>
  <si>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</si>
  <si>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</si>
  <si>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</si>
  <si>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A9</t>
  </si>
  <si>
    <t xml:space="preserve">A10</t>
  </si>
  <si>
    <t xml:space="preserve">A11</t>
  </si>
  <si>
    <t xml:space="preserve">A12</t>
  </si>
  <si>
    <t xml:space="preserve">A13</t>
  </si>
  <si>
    <t xml:space="preserve">A14</t>
  </si>
  <si>
    <t xml:space="preserve">A15</t>
  </si>
  <si>
    <t xml:space="preserve">B2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</si>
  <si>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</si>
  <si>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</si>
  <si>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</si>
  <si>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</si>
  <si>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</si>
  <si>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C2</t>
  </si>
  <si>
    <t xml:space="preserve">C3</t>
  </si>
  <si>
    <t xml:space="preserve">C4</t>
  </si>
  <si>
    <t xml:space="preserve">C5</t>
  </si>
  <si>
    <t xml:space="preserve">C6</t>
  </si>
  <si>
    <t xml:space="preserve">D1</t>
  </si>
  <si>
    <t xml:space="preserve">D2</t>
  </si>
  <si>
    <t xml:space="preserve">E1</t>
  </si>
  <si>
    <t xml:space="preserve">E2</t>
  </si>
  <si>
    <t xml:space="preserve">F1</t>
  </si>
  <si>
    <t xml:space="preserve">F2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</si>
  <si>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</si>
  <si>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</si>
  <si>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</si>
  <si>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</si>
  <si>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</si>
  <si>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</si>
  <si>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</si>
  <si>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G1</t>
  </si>
  <si>
    <t xml:space="preserve">G2</t>
  </si>
  <si>
    <t xml:space="preserve">H1</t>
  </si>
  <si>
    <t xml:space="preserve">I1</t>
  </si>
  <si>
    <t xml:space="preserve">I2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</si>
  <si>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</si>
  <si>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</si>
  <si>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</si>
  <si>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</si>
  <si>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</si>
  <si>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K6</t>
  </si>
  <si>
    <t xml:space="preserve">K7</t>
  </si>
  <si>
    <t xml:space="preserve">K8</t>
  </si>
  <si>
    <t xml:space="preserve">K9</t>
  </si>
  <si>
    <t xml:space="preserve">K14</t>
  </si>
  <si>
    <t xml:space="preserve">K15</t>
  </si>
  <si>
    <t xml:space="preserve">K16</t>
  </si>
  <si>
    <t xml:space="preserve">K17</t>
  </si>
  <si>
    <t xml:space="preserve">K18</t>
  </si>
  <si>
    <t xml:space="preserve">K19</t>
  </si>
  <si>
    <t xml:space="preserve">K20</t>
  </si>
  <si>
    <t xml:space="preserve">L1</t>
  </si>
  <si>
    <t xml:space="preserve">L2</t>
  </si>
  <si>
    <t xml:space="preserve">L3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</si>
  <si>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</si>
  <si>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</si>
  <si>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</si>
  <si>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</si>
  <si>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</si>
  <si>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</si>
  <si>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</si>
  <si>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</si>
  <si>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</si>
  <si>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</si>
  <si>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M12</t>
  </si>
  <si>
    <t xml:space="preserve">M13</t>
  </si>
  <si>
    <t xml:space="preserve">M14</t>
  </si>
  <si>
    <t xml:space="preserve">M15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</si>
  <si>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</si>
  <si>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</si>
  <si>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</si>
  <si>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</si>
  <si>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</si>
  <si>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</si>
  <si>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</si>
  <si>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</si>
  <si>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</si>
  <si>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</si>
  <si>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</si>
  <si>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</si>
  <si>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</si>
  <si>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</si>
  <si>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</si>
  <si>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</si>
  <si>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</si>
  <si>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</si>
  <si>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</si>
  <si>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</si>
  <si>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</si>
  <si>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</si>
  <si>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</si>
  <si>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</si>
  <si>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</si>
  <si>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</si>
  <si>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</si>
  <si>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</si>
  <si>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</si>
  <si>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</si>
  <si>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</si>
  <si>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</si>
  <si>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</si>
  <si>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</si>
  <si>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</si>
  <si>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</si>
  <si>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</si>
  <si>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</si>
  <si>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</si>
  <si>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</si>
  <si>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</si>
  <si>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</si>
  <si>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M61</t>
  </si>
  <si>
    <t xml:space="preserve">M62</t>
  </si>
  <si>
    <t xml:space="preserve">M63</t>
  </si>
  <si>
    <t xml:space="preserve">M64</t>
  </si>
  <si>
    <t xml:space="preserve">M65</t>
  </si>
  <si>
    <t xml:space="preserve">N1</t>
  </si>
  <si>
    <t xml:space="preserve">N2</t>
  </si>
  <si>
    <t xml:space="preserve">N3</t>
  </si>
  <si>
    <t xml:space="preserve">N4</t>
  </si>
  <si>
    <t xml:space="preserve">Total risk denominator (fixed, per circular): 302</t>
  </si>
  <si>
    <t xml:space="preserve">OCRMS Data — paste your pivot export starting at A5 (yellow header row)</t>
  </si>
  <si>
    <t xml:space="preserve">Row 6 is a SAMPLE — delete it (or overwrite by pasting) before entering real data. Rows 7-155 are ready for up to 149 branches.</t>
  </si>
  <si>
    <t xml:space="preserve">Risk Rating (auto)</t>
  </si>
  <si>
    <t xml:space="preserve">Weight (auto)</t>
  </si>
  <si>
    <t xml:space="preserve">Row Labels (paste branch codes below, headers on this row)</t>
  </si>
  <si>
    <t xml:space="preserve">Grand Total</t>
  </si>
  <si>
    <t xml:space="preserve">High-Risk Hit? (auto)</t>
  </si>
  <si>
    <t xml:space="preserve">BR0001 (SAMPLE)</t>
  </si>
  <si>
    <t xml:space="preserve">Hit? (auto)</t>
  </si>
  <si>
    <t xml:space="preserve">Weight Contributed (auto)</t>
  </si>
  <si>
    <t xml:space="preserve">OCRMS PART A / B SUMMARY</t>
  </si>
  <si>
    <t xml:space="preserve">Risk score obtained</t>
  </si>
  <si>
    <t xml:space="preserve">Total risk (denominator)</t>
  </si>
  <si>
    <t xml:space="preserve">Compliance % (A)</t>
  </si>
  <si>
    <t xml:space="preserve">Marks A (0-1)</t>
  </si>
  <si>
    <t xml:space="preserve">Total branches in Region</t>
  </si>
  <si>
    <t xml:space="preserve">Branches with HIGH-risk violation</t>
  </si>
  <si>
    <t xml:space="preserve">Compliance % (B)</t>
  </si>
  <si>
    <t xml:space="preserve">Marks B (0-1)</t>
  </si>
  <si>
    <t xml:space="preserve">OCTMS Data — parameter codes as rows, branch codes as columns (paste branches into row 5)</t>
  </si>
  <si>
    <t xml:space="preserve">Unmapped parameter default rating (used when a pasted code isn't in Annexure-III):</t>
  </si>
  <si>
    <t xml:space="preserve">Parameter Code (paste here)</t>
  </si>
  <si>
    <t xml:space="preserve">Paste branch codes into row 5, values into the rows below →</t>
  </si>
  <si>
    <t xml:space="preserve">BR0001</t>
  </si>
  <si>
    <t xml:space="preserve">BR0002</t>
  </si>
  <si>
    <t xml:space="preserve">Non-complied? (auto)</t>
  </si>
  <si>
    <t xml:space="preserve">OCTMS PART A / B SUMMARY</t>
  </si>
  <si>
    <t xml:space="preserve">Non-complied branches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</si>
</sst>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General"/>
    <numFmt numFmtId="167" formatCode="0.0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7"/>
      <name val="Arial"/>
      <family val="0"/>
      <charset val="1"/>
    </font>
    <font>
      <i val="true"/>
      <sz val="10"/>
      <color rgb="FF4B556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6"/>
      <color rgb="FF1F2937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9CA3AF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2937"/>
        <bgColor rgb="FF374151"/>
      </patternFill>
    </fill>
    <fill>
      <patternFill patternType="solid">
        <fgColor rgb="FFFFFDE7"/>
        <bgColor rgb="FFFFFFFF"/>
      </patternFill>
    </fill>
    <fill>
      <patternFill patternType="solid">
        <fgColor rgb="FFE0E7FF"/>
        <bgColor rgb="FFF3F4F6"/>
      </patternFill>
    </fill>
    <fill>
      <patternFill patternType="solid">
        <fgColor rgb="FF374151"/>
        <bgColor rgb="FF4B5563"/>
      </patternFill>
    </fill>
    <fill>
      <patternFill patternType="solid">
        <fgColor rgb="FFFFF9C4"/>
        <bgColor rgb="FFFFFDE7"/>
      </patternFill>
    </fill>
    <fill>
      <patternFill patternType="solid">
        <fgColor rgb="FFF3F4F6"/>
        <bgColor rgb="FFFFFD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0E7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D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4B5563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.75" hidden="false" customHeight="true" outlineLevel="0" collapsed="false">
      <c r="A5" s="3" t="s">
        <v>2</v>
      </c>
    </row>
    <row r="6" customFormat="false" ht="30" hidden="false" customHeight="true" outlineLevel="0" collapsed="false">
      <c r="A6" s="4" t="s">
        <v>3</v>
      </c>
    </row>
    <row r="7" customFormat="false" ht="30" hidden="false" customHeight="true" outlineLevel="0" collapsed="false">
      <c r="A7" s="4" t="s">
        <v>4</v>
      </c>
    </row>
    <row r="8" customFormat="false" ht="30" hidden="false" customHeight="true" outlineLevel="0" collapsed="false">
      <c r="A8" s="4" t="s">
        <v>5</v>
      </c>
    </row>
    <row r="9" customFormat="false" ht="30" hidden="false" customHeight="true" outlineLevel="0" collapsed="false">
      <c r="A9" s="4" t="s">
        <v>6</v>
      </c>
    </row>
    <row r="10" customFormat="false" ht="15.75" hidden="false" customHeight="true" outlineLevel="0" collapsed="false">
      <c r="A10" s="4" t="s">
        <v>7</v>
      </c>
    </row>
    <row r="12" customFormat="false" ht="15.75" hidden="false" customHeight="true" outlineLevel="0" collapsed="false">
      <c r="A12" s="3" t="s">
        <v>8</v>
      </c>
    </row>
    <row r="13" customFormat="false" ht="15.75" hidden="false" customHeight="true" outlineLevel="0" collapsed="false">
      <c r="A13" s="5" t="s">
        <v>9</v>
      </c>
    </row>
    <row r="14" customFormat="false" ht="15.75" hidden="false" customHeight="true" outlineLevel="0" collapsed="false">
      <c r="A14" s="5" t="s">
        <v>10</v>
      </c>
    </row>
    <row r="15" customFormat="false" ht="15.75" hidden="false" customHeight="true" outlineLevel="0" collapsed="false">
      <c r="A15" s="5" t="s">
        <v>11</v>
      </c>
    </row>
    <row r="17" customFormat="false" ht="15.75" hidden="false" customHeight="true" outlineLevel="0" collapsed="false">
      <c r="A17" s="3" t="s">
        <v>12</v>
      </c>
    </row>
    <row r="18" customFormat="false" ht="30" hidden="false" customHeight="true" outlineLevel="0" collapsed="false">
      <c r="A18" s="5" t="s">
        <v>13</v>
      </c>
    </row>
    <row r="19" customFormat="false" ht="30" hidden="false" customHeight="true" outlineLevel="0" collapsed="false">
      <c r="A19" s="5" t="s">
        <v>14</v>
      </c>
    </row>
    <row r="20" customFormat="false" ht="30" hidden="false" customHeight="true" outlineLevel="0" collapsed="false">
      <c r="A20" s="5" t="s">
        <v>15</v>
      </c>
    </row>
    <row r="21" customFormat="false" ht="30" hidden="false" customHeight="true" outlineLevel="0" collapsed="false">
      <c r="A21" s="5" t="s">
        <v>16</v>
      </c>
    </row>
    <row r="22" customFormat="false" ht="30" hidden="false" customHeight="true" outlineLevel="0" collapsed="false">
      <c r="A22" s="5" t="s">
        <v>17</v>
      </c>
    </row>
    <row r="24" customFormat="false" ht="15.75" hidden="false" customHeight="true" outlineLevel="0" collapsed="false">
      <c r="A24" s="3" t="s">
        <v>18</v>
      </c>
    </row>
    <row r="25" customFormat="false" ht="30" hidden="false" customHeight="true" outlineLevel="0" collapsed="false">
      <c r="A25" s="5" t="s">
        <v>19</v>
      </c>
    </row>
    <row r="26" customFormat="false" ht="30" hidden="false" customHeight="true" outlineLevel="0" collapsed="false">
      <c r="A26" s="5" t="s">
        <v>20</v>
      </c>
    </row>
    <row r="27" customFormat="false" ht="30" hidden="false" customHeight="true" outlineLevel="0" collapsed="false">
      <c r="A27" s="5" t="s">
        <v>21</v>
      </c>
    </row>
    <row r="28" customFormat="false" ht="30" hidden="false" customHeight="true" outlineLevel="0" collapsed="false">
      <c r="A28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23</v>
      </c>
    </row>
    <row r="4" customFormat="false" ht="15" hidden="false" customHeight="false" outlineLevel="0" collapsed="false">
      <c r="A4" s="6" t="s">
        <v>24</v>
      </c>
      <c r="B4" s="7"/>
    </row>
    <row r="6" customFormat="false" ht="15" hidden="false" customHeight="false" outlineLevel="0" collapsed="false">
      <c r="A6" s="8" t="s">
        <v>25</v>
      </c>
      <c r="B6" s="9" t="n">
        <v>55</v>
      </c>
    </row>
    <row r="7" customFormat="false" ht="15" hidden="false" customHeight="false" outlineLevel="0" collapsed="false">
      <c r="A7" s="10" t="s">
        <v>26</v>
      </c>
    </row>
    <row r="9" customFormat="false" ht="15" hidden="false" customHeight="false" outlineLevel="0" collapsed="false">
      <c r="A9" s="6" t="s">
        <v>27</v>
      </c>
      <c r="B9" s="7"/>
    </row>
    <row r="10" customFormat="false" ht="15" hidden="false" customHeight="false" outlineLevel="0" collapsed="false">
      <c r="A10" s="8" t="s">
        <v>28</v>
      </c>
      <c r="B10" s="11" t="n">
        <f aca="false">'OCRMS Data'!$B$116</f>
        <v>1</v>
      </c>
    </row>
    <row r="11" customFormat="false" ht="15" hidden="false" customHeight="false" outlineLevel="0" collapsed="false">
      <c r="A11" s="8" t="s">
        <v>29</v>
      </c>
      <c r="B11" s="11" t="n">
        <f aca="false">'OCRMS Data'!$B$121</f>
        <v>0.98</v>
      </c>
    </row>
    <row r="12" customFormat="false" ht="15" hidden="false" customHeight="false" outlineLevel="0" collapsed="false">
      <c r="A12" s="8" t="s">
        <v>30</v>
      </c>
      <c r="B12" s="9" t="n">
        <v>0</v>
      </c>
    </row>
    <row r="13" customFormat="false" ht="15" hidden="false" customHeight="false" outlineLevel="0" collapsed="false">
      <c r="A13" s="8" t="s">
        <v>31</v>
      </c>
      <c r="B13" s="9" t="n">
        <v>0</v>
      </c>
    </row>
    <row r="14" customFormat="false" ht="15" hidden="false" customHeight="false" outlineLevel="0" collapsed="false">
      <c r="A14" s="8" t="s">
        <v>32</v>
      </c>
      <c r="B14" s="12" t="n">
        <f aca="false">IF(B12&gt;0,MIN(1,MAX(0,ROUND(B13/B12,2))),0)</f>
        <v>0</v>
      </c>
    </row>
    <row r="15" customFormat="false" ht="15" hidden="false" customHeight="false" outlineLevel="0" collapsed="false">
      <c r="A15" s="13" t="s">
        <v>33</v>
      </c>
      <c r="B15" s="14" t="n">
        <f aca="false">B10+B11+B14</f>
        <v>1.98</v>
      </c>
    </row>
    <row r="17" customFormat="false" ht="15" hidden="false" customHeight="false" outlineLevel="0" collapsed="false">
      <c r="A17" s="6" t="s">
        <v>34</v>
      </c>
      <c r="B17" s="7"/>
    </row>
    <row r="18" customFormat="false" ht="15" hidden="false" customHeight="false" outlineLevel="0" collapsed="false">
      <c r="A18" s="8" t="s">
        <v>28</v>
      </c>
      <c r="B18" s="11" t="n">
        <f aca="false">'OCTMS Data'!$B$144</f>
        <v>1</v>
      </c>
    </row>
    <row r="19" customFormat="false" ht="15" hidden="false" customHeight="false" outlineLevel="0" collapsed="false">
      <c r="A19" s="8" t="s">
        <v>29</v>
      </c>
      <c r="B19" s="11" t="n">
        <f aca="false">'OCTMS Data'!$B$149</f>
        <v>1</v>
      </c>
    </row>
    <row r="20" customFormat="false" ht="15" hidden="false" customHeight="false" outlineLevel="0" collapsed="false">
      <c r="A20" s="8" t="s">
        <v>30</v>
      </c>
      <c r="B20" s="9" t="n">
        <v>0</v>
      </c>
    </row>
    <row r="21" customFormat="false" ht="15" hidden="false" customHeight="false" outlineLevel="0" collapsed="false">
      <c r="A21" s="8" t="s">
        <v>35</v>
      </c>
      <c r="B21" s="9" t="n">
        <v>0</v>
      </c>
    </row>
    <row r="22" customFormat="false" ht="15" hidden="false" customHeight="false" outlineLevel="0" collapsed="false">
      <c r="A22" s="8" t="s">
        <v>32</v>
      </c>
      <c r="B22" s="12" t="n">
        <f aca="false">IF(B20&gt;0,MIN(1,MAX(0,ROUND(B21/B20,2))),0)</f>
        <v>0</v>
      </c>
    </row>
    <row r="23" customFormat="false" ht="15" hidden="false" customHeight="false" outlineLevel="0" collapsed="false">
      <c r="A23" s="13" t="s">
        <v>36</v>
      </c>
      <c r="B23" s="14" t="n">
        <f aca="false">B18+B19+B22</f>
        <v>2</v>
      </c>
    </row>
    <row r="25" customFormat="false" ht="15" hidden="false" customHeight="false" outlineLevel="0" collapsed="false">
      <c r="A25" s="6" t="s">
        <v>37</v>
      </c>
      <c r="B25" s="7"/>
    </row>
    <row r="26" customFormat="false" ht="15" hidden="false" customHeight="false" outlineLevel="0" collapsed="false">
      <c r="A26" s="8" t="s">
        <v>38</v>
      </c>
      <c r="B26" s="9" t="s">
        <v>39</v>
      </c>
    </row>
    <row r="27" customFormat="false" ht="27.75" hidden="false" customHeight="true" outlineLevel="0" collapsed="false">
      <c r="A27" s="15" t="str">
        <f aca="false">IF(B26="Regional Head / DRM","OCRMS bucket = OCRMS+Cermo+AEOA (max 5). OCTMS bucket = OCTMS+Penalty+Forum (max 5).","OCRMS bucket = OCRMS+Cermo (max 4). OCTMS bucket = OCTMS+Penalty+Forum (max 6).")</f>
        <v>OCRMS bucket = OCRMS+Cermo+AEOA (max 5). OCTMS bucket = OCTMS+Penalty+Forum (max 5).</v>
      </c>
      <c r="B27" s="15"/>
      <c r="C27" s="15"/>
      <c r="D27" s="15"/>
    </row>
    <row r="29" customFormat="false" ht="15" hidden="false" customHeight="false" outlineLevel="0" collapsed="false">
      <c r="A29" s="8" t="s">
        <v>40</v>
      </c>
      <c r="B29" s="9" t="n">
        <v>99.23</v>
      </c>
    </row>
    <row r="30" customFormat="false" ht="15" hidden="false" customHeight="false" outlineLevel="0" collapsed="false">
      <c r="A30" s="8" t="s">
        <v>41</v>
      </c>
      <c r="B30" s="9" t="n">
        <v>1</v>
      </c>
      <c r="C30" s="9" t="n">
        <v>0.5</v>
      </c>
      <c r="D30" s="9" t="n">
        <v>1</v>
      </c>
    </row>
    <row r="31" customFormat="false" ht="15" hidden="false" customHeight="false" outlineLevel="0" collapsed="false">
      <c r="A31" s="8" t="s">
        <v>42</v>
      </c>
      <c r="B31" s="9" t="s">
        <v>43</v>
      </c>
    </row>
    <row r="32" customFormat="false" ht="15" hidden="false" customHeight="false" outlineLevel="0" collapsed="false">
      <c r="A32" s="8" t="s">
        <v>44</v>
      </c>
      <c r="B32" s="9" t="s">
        <v>43</v>
      </c>
    </row>
    <row r="34" customFormat="false" ht="15" hidden="false" customHeight="false" outlineLevel="0" collapsed="false">
      <c r="A34" s="10" t="s">
        <v>45</v>
      </c>
      <c r="B34" s="16" t="n">
        <f aca="false">IF(B26="Regional Head / DRM",1,2)</f>
        <v>1</v>
      </c>
    </row>
    <row r="35" customFormat="false" ht="15" hidden="false" customHeight="false" outlineLevel="0" collapsed="false">
      <c r="A35" s="10" t="s">
        <v>46</v>
      </c>
      <c r="B35" s="16" t="str">
        <f aca="false">IF(B26="Regional Head / DRM","Yes","No")</f>
        <v>Yes</v>
      </c>
    </row>
    <row r="36" customFormat="false" ht="15" hidden="false" customHeight="false" outlineLevel="0" collapsed="false">
      <c r="A36" s="10" t="s">
        <v>47</v>
      </c>
      <c r="B36" s="12" t="n">
        <f aca="false">IF(B29&gt;0,MIN(1,ROUND(B29/100,2)),0)</f>
        <v>0.99</v>
      </c>
    </row>
    <row r="37" customFormat="false" ht="15" hidden="false" customHeight="false" outlineLevel="0" collapsed="false">
      <c r="A37" s="10" t="s">
        <v>48</v>
      </c>
      <c r="B37" s="12" t="n">
        <f aca="false">IFERROR(ROUND(AVERAGE(B30:D30),2),0)</f>
        <v>0.83</v>
      </c>
    </row>
    <row r="38" customFormat="false" ht="15" hidden="false" customHeight="false" outlineLevel="0" collapsed="false">
      <c r="A38" s="10" t="s">
        <v>49</v>
      </c>
      <c r="B38" s="12" t="n">
        <f aca="false">IF(B31="Yes",1,0)*B34</f>
        <v>1</v>
      </c>
    </row>
    <row r="39" customFormat="false" ht="15" hidden="false" customHeight="false" outlineLevel="0" collapsed="false">
      <c r="A39" s="10" t="s">
        <v>50</v>
      </c>
      <c r="B39" s="12" t="n">
        <f aca="false">IF(B35="Yes",IF(B32="Yes",1,0),0)</f>
        <v>1</v>
      </c>
    </row>
    <row r="41" customFormat="false" ht="15" hidden="false" customHeight="false" outlineLevel="0" collapsed="false">
      <c r="A41" s="6" t="s">
        <v>51</v>
      </c>
      <c r="B41" s="7"/>
      <c r="C41" s="7"/>
      <c r="D41" s="7"/>
    </row>
    <row r="42" customFormat="false" ht="15" hidden="false" customHeight="false" outlineLevel="0" collapsed="false">
      <c r="A42" s="8" t="s">
        <v>52</v>
      </c>
      <c r="B42" s="14" t="n">
        <f aca="false">B15+B36+B39</f>
        <v>3.97</v>
      </c>
      <c r="C42" s="10" t="str">
        <f aca="false">" / "&amp;IF(B35="Yes",5,4)</f>
        <v> / 5</v>
      </c>
    </row>
    <row r="43" customFormat="false" ht="15" hidden="false" customHeight="false" outlineLevel="0" collapsed="false">
      <c r="A43" s="8" t="s">
        <v>53</v>
      </c>
      <c r="B43" s="14" t="n">
        <f aca="false">B23+B37+B38</f>
        <v>3.83</v>
      </c>
      <c r="C43" s="10" t="str">
        <f aca="false">" / "&amp;IF(B35="Yes",5,6)</f>
        <v> / 5</v>
      </c>
    </row>
    <row r="45" customFormat="false" ht="19.7" hidden="false" customHeight="false" outlineLevel="0" collapsed="false">
      <c r="A45" s="1" t="s">
        <v>54</v>
      </c>
      <c r="B45" s="17" t="n">
        <f aca="false">ROUND(B42+B43,2)</f>
        <v>7.8</v>
      </c>
      <c r="C45" s="10" t="s">
        <v>55</v>
      </c>
    </row>
  </sheetData>
  <mergeCells count="1">
    <mergeCell ref="A27:D27"/>
  </mergeCells>
  <dataValidations count="3">
    <dataValidation allowBlank="false" errorStyle="stop" operator="between" showDropDown="false" showErrorMessage="false" showInputMessage="false" sqref="B26" type="list">
      <formula1>"Regional Head / DRM,Zonal Head / DGM (CA) / DGM (BD)"</formula1>
      <formula2>0</formula2>
    </dataValidation>
    <dataValidation allowBlank="false" errorStyle="stop" operator="between" showDropDown="false" showErrorMessage="false" showInputMessage="false" sqref="B31" type="list">
      <formula1>"Yes,No"</formula1>
      <formula2>0</formula2>
    </dataValidation>
    <dataValidation allowBlank="false" errorStyle="stop" operator="between" showDropDown="false" showErrorMessage="false" showInputMessage="false" sqref="B3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8" t="s">
        <v>56</v>
      </c>
    </row>
    <row r="3" customFormat="false" ht="15" hidden="false" customHeight="false" outlineLevel="0" collapsed="false">
      <c r="A3" s="18" t="s">
        <v>57</v>
      </c>
      <c r="B3" s="18" t="s">
        <v>58</v>
      </c>
      <c r="C3" s="18" t="s">
        <v>59</v>
      </c>
    </row>
    <row r="4" customFormat="false" ht="15" hidden="false" customHeight="false" outlineLevel="0" collapsed="false">
      <c r="A4" s="19" t="s">
        <v>60</v>
      </c>
      <c r="B4" s="20" t="s">
        <v>61</v>
      </c>
      <c r="C4" s="20" t="n">
        <v>1</v>
      </c>
    </row>
    <row r="5" customFormat="false" ht="15" hidden="false" customHeight="false" outlineLevel="0" collapsed="false">
      <c r="A5" s="19" t="s">
        <v>62</v>
      </c>
      <c r="B5" s="20" t="s">
        <v>61</v>
      </c>
      <c r="C5" s="20" t="n">
        <v>1</v>
      </c>
    </row>
    <row r="6" customFormat="false" ht="15" hidden="false" customHeight="false" outlineLevel="0" collapsed="false">
      <c r="A6" s="19" t="s">
        <v>63</v>
      </c>
      <c r="B6" s="20" t="s">
        <v>64</v>
      </c>
      <c r="C6" s="20" t="n">
        <v>3</v>
      </c>
    </row>
    <row r="7" customFormat="false" ht="15" hidden="false" customHeight="false" outlineLevel="0" collapsed="false">
      <c r="A7" s="19" t="s">
        <v>65</v>
      </c>
      <c r="B7" s="20" t="s">
        <v>66</v>
      </c>
      <c r="C7" s="20" t="n">
        <v>2</v>
      </c>
    </row>
    <row r="8" customFormat="false" ht="15" hidden="false" customHeight="false" outlineLevel="0" collapsed="false">
      <c r="A8" s="19" t="s">
        <v>67</v>
      </c>
      <c r="B8" s="20" t="s">
        <v>66</v>
      </c>
      <c r="C8" s="20" t="n">
        <v>2</v>
      </c>
    </row>
    <row r="9" customFormat="false" ht="15" hidden="false" customHeight="false" outlineLevel="0" collapsed="false">
      <c r="A9" s="19" t="s">
        <v>68</v>
      </c>
      <c r="B9" s="20" t="s">
        <v>66</v>
      </c>
      <c r="C9" s="20" t="n">
        <v>2</v>
      </c>
    </row>
    <row r="10" customFormat="false" ht="15" hidden="false" customHeight="false" outlineLevel="0" collapsed="false">
      <c r="A10" s="19" t="s">
        <v>69</v>
      </c>
      <c r="B10" s="20" t="s">
        <v>66</v>
      </c>
      <c r="C10" s="20" t="n">
        <v>2</v>
      </c>
    </row>
    <row r="11" customFormat="false" ht="15" hidden="false" customHeight="false" outlineLevel="0" collapsed="false">
      <c r="A11" s="19" t="s">
        <v>70</v>
      </c>
      <c r="B11" s="20" t="s">
        <v>66</v>
      </c>
      <c r="C11" s="20" t="n">
        <v>2</v>
      </c>
    </row>
    <row r="12" customFormat="false" ht="15" hidden="false" customHeight="false" outlineLevel="0" collapsed="false">
      <c r="A12" s="19" t="s">
        <v>71</v>
      </c>
      <c r="B12" s="20" t="s">
        <v>64</v>
      </c>
      <c r="C12" s="20" t="n">
        <v>3</v>
      </c>
    </row>
    <row r="13" customFormat="false" ht="15" hidden="false" customHeight="false" outlineLevel="0" collapsed="false">
      <c r="A13" s="19" t="s">
        <v>72</v>
      </c>
      <c r="B13" s="20" t="s">
        <v>64</v>
      </c>
      <c r="C13" s="20" t="n">
        <v>3</v>
      </c>
    </row>
    <row r="14" customFormat="false" ht="15" hidden="false" customHeight="false" outlineLevel="0" collapsed="false">
      <c r="A14" s="19" t="s">
        <v>73</v>
      </c>
      <c r="B14" s="20" t="s">
        <v>64</v>
      </c>
      <c r="C14" s="20" t="n">
        <v>3</v>
      </c>
    </row>
    <row r="15" customFormat="false" ht="15" hidden="false" customHeight="false" outlineLevel="0" collapsed="false">
      <c r="A15" s="19" t="s">
        <v>74</v>
      </c>
      <c r="B15" s="20" t="s">
        <v>64</v>
      </c>
      <c r="C15" s="20" t="n">
        <v>3</v>
      </c>
    </row>
    <row r="16" customFormat="false" ht="15" hidden="false" customHeight="false" outlineLevel="0" collapsed="false">
      <c r="A16" s="19" t="s">
        <v>75</v>
      </c>
      <c r="B16" s="20" t="s">
        <v>66</v>
      </c>
      <c r="C16" s="20" t="n">
        <v>2</v>
      </c>
    </row>
    <row r="17" customFormat="false" ht="15" hidden="false" customHeight="false" outlineLevel="0" collapsed="false">
      <c r="A17" s="19" t="s">
        <v>76</v>
      </c>
      <c r="B17" s="20" t="s">
        <v>64</v>
      </c>
      <c r="C17" s="20" t="n">
        <v>3</v>
      </c>
    </row>
    <row r="18" customFormat="false" ht="15" hidden="false" customHeight="false" outlineLevel="0" collapsed="false">
      <c r="A18" s="19" t="s">
        <v>77</v>
      </c>
      <c r="B18" s="20" t="s">
        <v>61</v>
      </c>
      <c r="C18" s="20" t="n">
        <v>1</v>
      </c>
    </row>
    <row r="19" customFormat="false" ht="15" hidden="false" customHeight="false" outlineLevel="0" collapsed="false">
      <c r="A19" s="19" t="s">
        <v>78</v>
      </c>
      <c r="B19" s="20" t="s">
        <v>66</v>
      </c>
      <c r="C19" s="20" t="n">
        <v>2</v>
      </c>
    </row>
    <row r="20" customFormat="false" ht="15" hidden="false" customHeight="false" outlineLevel="0" collapsed="false">
      <c r="A20" s="19" t="s">
        <v>79</v>
      </c>
      <c r="B20" s="20" t="s">
        <v>66</v>
      </c>
      <c r="C20" s="20" t="n">
        <v>2</v>
      </c>
    </row>
    <row r="21" customFormat="false" ht="15" hidden="false" customHeight="false" outlineLevel="0" collapsed="false">
      <c r="A21" s="19" t="s">
        <v>80</v>
      </c>
      <c r="B21" s="20" t="s">
        <v>66</v>
      </c>
      <c r="C21" s="20" t="n">
        <v>2</v>
      </c>
    </row>
    <row r="22" customFormat="false" ht="15" hidden="false" customHeight="false" outlineLevel="0" collapsed="false">
      <c r="A22" s="19" t="s">
        <v>81</v>
      </c>
      <c r="B22" s="20" t="s">
        <v>66</v>
      </c>
      <c r="C22" s="20" t="n">
        <v>2</v>
      </c>
    </row>
    <row r="23" customFormat="false" ht="15" hidden="false" customHeight="false" outlineLevel="0" collapsed="false">
      <c r="A23" s="19" t="s">
        <v>82</v>
      </c>
      <c r="B23" s="20" t="s">
        <v>66</v>
      </c>
      <c r="C23" s="20" t="n">
        <v>2</v>
      </c>
    </row>
    <row r="24" customFormat="false" ht="15" hidden="false" customHeight="false" outlineLevel="0" collapsed="false">
      <c r="A24" s="19" t="s">
        <v>83</v>
      </c>
      <c r="B24" s="20" t="s">
        <v>66</v>
      </c>
      <c r="C24" s="20" t="n">
        <v>2</v>
      </c>
    </row>
    <row r="25" customFormat="false" ht="15" hidden="false" customHeight="false" outlineLevel="0" collapsed="false">
      <c r="A25" s="19" t="s">
        <v>84</v>
      </c>
      <c r="B25" s="20" t="s">
        <v>61</v>
      </c>
      <c r="C25" s="20" t="n">
        <v>1</v>
      </c>
    </row>
    <row r="26" customFormat="false" ht="15" hidden="false" customHeight="false" outlineLevel="0" collapsed="false">
      <c r="A26" s="19" t="s">
        <v>85</v>
      </c>
      <c r="B26" s="20" t="s">
        <v>64</v>
      </c>
      <c r="C26" s="20" t="n">
        <v>3</v>
      </c>
    </row>
    <row r="27" customFormat="false" ht="15" hidden="false" customHeight="false" outlineLevel="0" collapsed="false">
      <c r="A27" s="19" t="s">
        <v>86</v>
      </c>
      <c r="B27" s="20" t="s">
        <v>64</v>
      </c>
      <c r="C27" s="20" t="n">
        <v>3</v>
      </c>
    </row>
    <row r="28" customFormat="false" ht="15" hidden="false" customHeight="false" outlineLevel="0" collapsed="false">
      <c r="A28" s="19" t="s">
        <v>87</v>
      </c>
      <c r="B28" s="20" t="s">
        <v>64</v>
      </c>
      <c r="C28" s="20" t="n">
        <v>3</v>
      </c>
    </row>
    <row r="29" customFormat="false" ht="15" hidden="false" customHeight="false" outlineLevel="0" collapsed="false">
      <c r="A29" s="19" t="s">
        <v>88</v>
      </c>
      <c r="B29" s="20" t="s">
        <v>66</v>
      </c>
      <c r="C29" s="20" t="n">
        <v>2</v>
      </c>
    </row>
    <row r="30" customFormat="false" ht="15" hidden="false" customHeight="false" outlineLevel="0" collapsed="false">
      <c r="A30" s="19" t="s">
        <v>89</v>
      </c>
      <c r="B30" s="20" t="s">
        <v>66</v>
      </c>
      <c r="C30" s="20" t="n">
        <v>2</v>
      </c>
    </row>
    <row r="31" customFormat="false" ht="15" hidden="false" customHeight="false" outlineLevel="0" collapsed="false">
      <c r="A31" s="19" t="s">
        <v>90</v>
      </c>
      <c r="B31" s="20" t="s">
        <v>66</v>
      </c>
      <c r="C31" s="20" t="n">
        <v>2</v>
      </c>
    </row>
    <row r="32" customFormat="false" ht="15" hidden="false" customHeight="false" outlineLevel="0" collapsed="false">
      <c r="A32" s="19" t="s">
        <v>91</v>
      </c>
      <c r="B32" s="20" t="s">
        <v>61</v>
      </c>
      <c r="C32" s="20" t="n">
        <v>1</v>
      </c>
    </row>
    <row r="33" customFormat="false" ht="15" hidden="false" customHeight="false" outlineLevel="0" collapsed="false">
      <c r="A33" s="19" t="s">
        <v>92</v>
      </c>
      <c r="B33" s="20" t="s">
        <v>66</v>
      </c>
      <c r="C33" s="20" t="n">
        <v>2</v>
      </c>
    </row>
    <row r="34" customFormat="false" ht="15" hidden="false" customHeight="false" outlineLevel="0" collapsed="false">
      <c r="A34" s="19" t="s">
        <v>93</v>
      </c>
      <c r="B34" s="20" t="s">
        <v>61</v>
      </c>
      <c r="C34" s="20" t="n">
        <v>1</v>
      </c>
    </row>
    <row r="35" customFormat="false" ht="15" hidden="false" customHeight="false" outlineLevel="0" collapsed="false">
      <c r="A35" s="19" t="s">
        <v>94</v>
      </c>
      <c r="B35" s="20" t="s">
        <v>61</v>
      </c>
      <c r="C35" s="20" t="n">
        <v>1</v>
      </c>
    </row>
    <row r="36" customFormat="false" ht="15" hidden="false" customHeight="false" outlineLevel="0" collapsed="false">
      <c r="A36" s="19" t="s">
        <v>95</v>
      </c>
      <c r="B36" s="20" t="s">
        <v>64</v>
      </c>
      <c r="C36" s="20" t="n">
        <v>3</v>
      </c>
    </row>
    <row r="37" customFormat="false" ht="15" hidden="false" customHeight="false" outlineLevel="0" collapsed="false">
      <c r="A37" s="19" t="s">
        <v>96</v>
      </c>
      <c r="B37" s="20" t="s">
        <v>64</v>
      </c>
      <c r="C37" s="20" t="n">
        <v>3</v>
      </c>
    </row>
    <row r="38" customFormat="false" ht="15" hidden="false" customHeight="false" outlineLevel="0" collapsed="false">
      <c r="A38" s="19" t="s">
        <v>97</v>
      </c>
      <c r="B38" s="20" t="s">
        <v>64</v>
      </c>
      <c r="C38" s="20" t="n">
        <v>3</v>
      </c>
    </row>
    <row r="39" customFormat="false" ht="15" hidden="false" customHeight="false" outlineLevel="0" collapsed="false">
      <c r="A39" s="19" t="s">
        <v>98</v>
      </c>
      <c r="B39" s="20" t="s">
        <v>64</v>
      </c>
      <c r="C39" s="20" t="n">
        <v>3</v>
      </c>
    </row>
    <row r="40" customFormat="false" ht="15" hidden="false" customHeight="false" outlineLevel="0" collapsed="false">
      <c r="A40" s="19" t="s">
        <v>99</v>
      </c>
      <c r="B40" s="20" t="s">
        <v>61</v>
      </c>
      <c r="C40" s="20" t="n">
        <v>1</v>
      </c>
    </row>
    <row r="41" customFormat="false" ht="15" hidden="false" customHeight="false" outlineLevel="0" collapsed="false">
      <c r="A41" s="19" t="s">
        <v>100</v>
      </c>
      <c r="B41" s="20" t="s">
        <v>66</v>
      </c>
      <c r="C41" s="20" t="n">
        <v>2</v>
      </c>
    </row>
    <row r="42" customFormat="false" ht="15" hidden="false" customHeight="false" outlineLevel="0" collapsed="false">
      <c r="A42" s="19" t="s">
        <v>101</v>
      </c>
      <c r="B42" s="20" t="s">
        <v>61</v>
      </c>
      <c r="C42" s="20" t="n">
        <v>1</v>
      </c>
    </row>
    <row r="43" customFormat="false" ht="15" hidden="false" customHeight="false" outlineLevel="0" collapsed="false">
      <c r="A43" s="19" t="s">
        <v>102</v>
      </c>
      <c r="B43" s="20" t="s">
        <v>64</v>
      </c>
      <c r="C43" s="20" t="n">
        <v>3</v>
      </c>
    </row>
    <row r="44" customFormat="false" ht="15" hidden="false" customHeight="false" outlineLevel="0" collapsed="false">
      <c r="A44" s="19" t="s">
        <v>103</v>
      </c>
      <c r="B44" s="20" t="s">
        <v>64</v>
      </c>
      <c r="C44" s="20" t="n">
        <v>3</v>
      </c>
    </row>
    <row r="45" customFormat="false" ht="15" hidden="false" customHeight="false" outlineLevel="0" collapsed="false">
      <c r="A45" s="19" t="s">
        <v>104</v>
      </c>
      <c r="B45" s="20" t="s">
        <v>64</v>
      </c>
      <c r="C45" s="20" t="n">
        <v>3</v>
      </c>
    </row>
    <row r="46" customFormat="false" ht="15" hidden="false" customHeight="false" outlineLevel="0" collapsed="false">
      <c r="A46" s="19" t="s">
        <v>105</v>
      </c>
      <c r="B46" s="20" t="s">
        <v>64</v>
      </c>
      <c r="C46" s="20" t="n">
        <v>3</v>
      </c>
    </row>
    <row r="47" customFormat="false" ht="15" hidden="false" customHeight="false" outlineLevel="0" collapsed="false">
      <c r="A47" s="19" t="s">
        <v>106</v>
      </c>
      <c r="B47" s="20" t="s">
        <v>66</v>
      </c>
      <c r="C47" s="20" t="n">
        <v>2</v>
      </c>
    </row>
    <row r="48" customFormat="false" ht="15" hidden="false" customHeight="false" outlineLevel="0" collapsed="false">
      <c r="A48" s="19" t="s">
        <v>107</v>
      </c>
      <c r="B48" s="20" t="s">
        <v>66</v>
      </c>
      <c r="C48" s="20" t="n">
        <v>2</v>
      </c>
    </row>
    <row r="49" customFormat="false" ht="15" hidden="false" customHeight="false" outlineLevel="0" collapsed="false">
      <c r="A49" s="19" t="s">
        <v>108</v>
      </c>
      <c r="B49" s="20" t="s">
        <v>64</v>
      </c>
      <c r="C49" s="20" t="n">
        <v>3</v>
      </c>
    </row>
    <row r="50" customFormat="false" ht="15" hidden="false" customHeight="false" outlineLevel="0" collapsed="false">
      <c r="A50" s="19" t="s">
        <v>109</v>
      </c>
      <c r="B50" s="20" t="s">
        <v>61</v>
      </c>
      <c r="C50" s="20" t="n">
        <v>1</v>
      </c>
    </row>
    <row r="51" customFormat="false" ht="15" hidden="false" customHeight="false" outlineLevel="0" collapsed="false">
      <c r="A51" s="19" t="s">
        <v>110</v>
      </c>
      <c r="B51" s="20" t="s">
        <v>64</v>
      </c>
      <c r="C51" s="20" t="n">
        <v>3</v>
      </c>
    </row>
    <row r="52" customFormat="false" ht="15" hidden="false" customHeight="false" outlineLevel="0" collapsed="false">
      <c r="A52" s="19" t="s">
        <v>111</v>
      </c>
      <c r="B52" s="20" t="s">
        <v>61</v>
      </c>
      <c r="C52" s="20" t="n">
        <v>1</v>
      </c>
    </row>
    <row r="53" customFormat="false" ht="15" hidden="false" customHeight="false" outlineLevel="0" collapsed="false">
      <c r="A53" s="19" t="s">
        <v>112</v>
      </c>
      <c r="B53" s="20" t="s">
        <v>66</v>
      </c>
      <c r="C53" s="20" t="n">
        <v>2</v>
      </c>
    </row>
    <row r="54" customFormat="false" ht="15" hidden="false" customHeight="false" outlineLevel="0" collapsed="false">
      <c r="A54" s="19" t="s">
        <v>113</v>
      </c>
      <c r="B54" s="20" t="s">
        <v>61</v>
      </c>
      <c r="C54" s="20" t="n">
        <v>1</v>
      </c>
    </row>
    <row r="55" customFormat="false" ht="15" hidden="false" customHeight="false" outlineLevel="0" collapsed="false">
      <c r="A55" s="19" t="s">
        <v>114</v>
      </c>
      <c r="B55" s="20" t="s">
        <v>64</v>
      </c>
      <c r="C55" s="20" t="n">
        <v>3</v>
      </c>
    </row>
    <row r="56" customFormat="false" ht="15" hidden="false" customHeight="false" outlineLevel="0" collapsed="false">
      <c r="A56" s="19" t="s">
        <v>115</v>
      </c>
      <c r="B56" s="20" t="s">
        <v>64</v>
      </c>
      <c r="C56" s="20" t="n">
        <v>3</v>
      </c>
    </row>
    <row r="57" customFormat="false" ht="15" hidden="false" customHeight="false" outlineLevel="0" collapsed="false">
      <c r="A57" s="19" t="s">
        <v>116</v>
      </c>
      <c r="B57" s="20" t="s">
        <v>66</v>
      </c>
      <c r="C57" s="20" t="n">
        <v>2</v>
      </c>
    </row>
    <row r="58" customFormat="false" ht="15" hidden="false" customHeight="false" outlineLevel="0" collapsed="false">
      <c r="A58" s="19" t="s">
        <v>117</v>
      </c>
      <c r="B58" s="20" t="s">
        <v>64</v>
      </c>
      <c r="C58" s="20" t="n">
        <v>3</v>
      </c>
    </row>
    <row r="59" customFormat="false" ht="15" hidden="false" customHeight="false" outlineLevel="0" collapsed="false">
      <c r="A59" s="19" t="s">
        <v>118</v>
      </c>
      <c r="B59" s="20" t="s">
        <v>64</v>
      </c>
      <c r="C59" s="20" t="n">
        <v>3</v>
      </c>
    </row>
    <row r="60" customFormat="false" ht="15" hidden="false" customHeight="false" outlineLevel="0" collapsed="false">
      <c r="A60" s="19" t="s">
        <v>119</v>
      </c>
      <c r="B60" s="20" t="s">
        <v>64</v>
      </c>
      <c r="C60" s="20" t="n">
        <v>3</v>
      </c>
    </row>
    <row r="61" customFormat="false" ht="15" hidden="false" customHeight="false" outlineLevel="0" collapsed="false">
      <c r="A61" s="19" t="s">
        <v>120</v>
      </c>
      <c r="B61" s="20" t="s">
        <v>61</v>
      </c>
      <c r="C61" s="20" t="n">
        <v>1</v>
      </c>
    </row>
    <row r="62" customFormat="false" ht="15" hidden="false" customHeight="false" outlineLevel="0" collapsed="false">
      <c r="A62" s="19" t="s">
        <v>121</v>
      </c>
      <c r="B62" s="20" t="s">
        <v>61</v>
      </c>
      <c r="C62" s="20" t="n">
        <v>1</v>
      </c>
    </row>
    <row r="63" customFormat="false" ht="15" hidden="false" customHeight="false" outlineLevel="0" collapsed="false">
      <c r="A63" s="19" t="s">
        <v>122</v>
      </c>
      <c r="B63" s="20" t="s">
        <v>61</v>
      </c>
      <c r="C63" s="20" t="n">
        <v>1</v>
      </c>
    </row>
    <row r="64" customFormat="false" ht="15" hidden="false" customHeight="false" outlineLevel="0" collapsed="false">
      <c r="A64" s="19" t="s">
        <v>123</v>
      </c>
      <c r="B64" s="20" t="s">
        <v>61</v>
      </c>
      <c r="C64" s="20" t="n">
        <v>1</v>
      </c>
    </row>
    <row r="65" customFormat="false" ht="15" hidden="false" customHeight="false" outlineLevel="0" collapsed="false">
      <c r="A65" s="19" t="s">
        <v>124</v>
      </c>
      <c r="B65" s="20" t="s">
        <v>66</v>
      </c>
      <c r="C65" s="20" t="n">
        <v>2</v>
      </c>
    </row>
    <row r="66" customFormat="false" ht="15" hidden="false" customHeight="false" outlineLevel="0" collapsed="false">
      <c r="A66" s="19" t="s">
        <v>125</v>
      </c>
      <c r="B66" s="20" t="s">
        <v>61</v>
      </c>
      <c r="C66" s="20" t="n">
        <v>1</v>
      </c>
    </row>
    <row r="67" customFormat="false" ht="15" hidden="false" customHeight="false" outlineLevel="0" collapsed="false">
      <c r="A67" s="19" t="s">
        <v>126</v>
      </c>
      <c r="B67" s="20" t="s">
        <v>61</v>
      </c>
      <c r="C67" s="20" t="n">
        <v>1</v>
      </c>
    </row>
    <row r="68" customFormat="false" ht="15" hidden="false" customHeight="false" outlineLevel="0" collapsed="false">
      <c r="A68" s="19" t="s">
        <v>127</v>
      </c>
      <c r="B68" s="20" t="s">
        <v>61</v>
      </c>
      <c r="C68" s="20" t="n">
        <v>1</v>
      </c>
    </row>
    <row r="69" customFormat="false" ht="15" hidden="false" customHeight="false" outlineLevel="0" collapsed="false">
      <c r="A69" s="19" t="s">
        <v>128</v>
      </c>
      <c r="B69" s="20" t="s">
        <v>64</v>
      </c>
      <c r="C69" s="20" t="n">
        <v>3</v>
      </c>
    </row>
    <row r="70" customFormat="false" ht="15" hidden="false" customHeight="false" outlineLevel="0" collapsed="false">
      <c r="A70" s="19" t="s">
        <v>129</v>
      </c>
      <c r="B70" s="20" t="s">
        <v>64</v>
      </c>
      <c r="C70" s="20" t="n">
        <v>3</v>
      </c>
    </row>
    <row r="72" customFormat="false" ht="15" hidden="false" customHeight="false" outlineLevel="0" collapsed="false">
      <c r="A72" s="10" t="s">
        <v>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8" t="s">
        <v>131</v>
      </c>
    </row>
    <row r="3" customFormat="false" ht="15" hidden="false" customHeight="false" outlineLevel="0" collapsed="false">
      <c r="A3" s="18" t="s">
        <v>57</v>
      </c>
      <c r="B3" s="18" t="s">
        <v>58</v>
      </c>
      <c r="C3" s="18" t="s">
        <v>59</v>
      </c>
    </row>
    <row r="4" customFormat="false" ht="15" hidden="false" customHeight="false" outlineLevel="0" collapsed="false">
      <c r="A4" s="19" t="s">
        <v>132</v>
      </c>
      <c r="B4" s="20" t="s">
        <v>64</v>
      </c>
      <c r="C4" s="20" t="n">
        <v>3</v>
      </c>
    </row>
    <row r="5" customFormat="false" ht="15" hidden="false" customHeight="false" outlineLevel="0" collapsed="false">
      <c r="A5" s="19" t="s">
        <v>133</v>
      </c>
      <c r="B5" s="20" t="s">
        <v>64</v>
      </c>
      <c r="C5" s="20" t="n">
        <v>3</v>
      </c>
    </row>
    <row r="6" customFormat="false" ht="15" hidden="false" customHeight="false" outlineLevel="0" collapsed="false">
      <c r="A6" s="19" t="s">
        <v>134</v>
      </c>
      <c r="B6" s="20" t="s">
        <v>64</v>
      </c>
      <c r="C6" s="20" t="n">
        <v>3</v>
      </c>
    </row>
    <row r="7" customFormat="false" ht="15" hidden="false" customHeight="false" outlineLevel="0" collapsed="false">
      <c r="A7" s="19" t="s">
        <v>135</v>
      </c>
      <c r="B7" s="20" t="s">
        <v>61</v>
      </c>
      <c r="C7" s="20" t="n">
        <v>1</v>
      </c>
    </row>
    <row r="8" customFormat="false" ht="15" hidden="false" customHeight="false" outlineLevel="0" collapsed="false">
      <c r="A8" s="19" t="s">
        <v>136</v>
      </c>
      <c r="B8" s="20" t="s">
        <v>64</v>
      </c>
      <c r="C8" s="20" t="n">
        <v>3</v>
      </c>
    </row>
    <row r="9" customFormat="false" ht="15" hidden="false" customHeight="false" outlineLevel="0" collapsed="false">
      <c r="A9" s="19" t="s">
        <v>137</v>
      </c>
      <c r="B9" s="20" t="s">
        <v>64</v>
      </c>
      <c r="C9" s="20" t="n">
        <v>3</v>
      </c>
    </row>
    <row r="10" customFormat="false" ht="15" hidden="false" customHeight="false" outlineLevel="0" collapsed="false">
      <c r="A10" s="19" t="s">
        <v>138</v>
      </c>
      <c r="B10" s="20" t="s">
        <v>64</v>
      </c>
      <c r="C10" s="20" t="n">
        <v>3</v>
      </c>
    </row>
    <row r="11" customFormat="false" ht="15" hidden="false" customHeight="false" outlineLevel="0" collapsed="false">
      <c r="A11" s="19" t="s">
        <v>139</v>
      </c>
      <c r="B11" s="20" t="s">
        <v>64</v>
      </c>
      <c r="C11" s="20" t="n">
        <v>3</v>
      </c>
    </row>
    <row r="12" customFormat="false" ht="15" hidden="false" customHeight="false" outlineLevel="0" collapsed="false">
      <c r="A12" s="19" t="s">
        <v>140</v>
      </c>
      <c r="B12" s="20" t="s">
        <v>64</v>
      </c>
      <c r="C12" s="20" t="n">
        <v>3</v>
      </c>
    </row>
    <row r="13" customFormat="false" ht="15" hidden="false" customHeight="false" outlineLevel="0" collapsed="false">
      <c r="A13" s="19" t="s">
        <v>141</v>
      </c>
      <c r="B13" s="20" t="s">
        <v>64</v>
      </c>
      <c r="C13" s="20" t="n">
        <v>3</v>
      </c>
    </row>
    <row r="14" customFormat="false" ht="15" hidden="false" customHeight="false" outlineLevel="0" collapsed="false">
      <c r="A14" s="19" t="s">
        <v>142</v>
      </c>
      <c r="B14" s="20" t="s">
        <v>64</v>
      </c>
      <c r="C14" s="20" t="n">
        <v>3</v>
      </c>
    </row>
    <row r="15" customFormat="false" ht="15" hidden="false" customHeight="false" outlineLevel="0" collapsed="false">
      <c r="A15" s="19" t="s">
        <v>143</v>
      </c>
      <c r="B15" s="20" t="s">
        <v>64</v>
      </c>
      <c r="C15" s="20" t="n">
        <v>3</v>
      </c>
    </row>
    <row r="16" customFormat="false" ht="15" hidden="false" customHeight="false" outlineLevel="0" collapsed="false">
      <c r="A16" s="19" t="s">
        <v>144</v>
      </c>
      <c r="B16" s="20" t="s">
        <v>64</v>
      </c>
      <c r="C16" s="20" t="n">
        <v>3</v>
      </c>
    </row>
    <row r="17" customFormat="false" ht="15" hidden="false" customHeight="false" outlineLevel="0" collapsed="false">
      <c r="A17" s="19" t="s">
        <v>145</v>
      </c>
      <c r="B17" s="20" t="s">
        <v>64</v>
      </c>
      <c r="C17" s="20" t="n">
        <v>3</v>
      </c>
    </row>
    <row r="18" customFormat="false" ht="15" hidden="false" customHeight="false" outlineLevel="0" collapsed="false">
      <c r="A18" s="19" t="s">
        <v>146</v>
      </c>
      <c r="B18" s="20" t="s">
        <v>64</v>
      </c>
      <c r="C18" s="20" t="n">
        <v>3</v>
      </c>
    </row>
    <row r="19" customFormat="false" ht="15" hidden="false" customHeight="false" outlineLevel="0" collapsed="false">
      <c r="A19" s="19" t="s">
        <v>147</v>
      </c>
      <c r="B19" s="20" t="s">
        <v>66</v>
      </c>
      <c r="C19" s="20" t="n">
        <v>2</v>
      </c>
    </row>
    <row r="20" customFormat="false" ht="15" hidden="false" customHeight="false" outlineLevel="0" collapsed="false">
      <c r="A20" s="19" t="s">
        <v>148</v>
      </c>
      <c r="B20" s="20" t="s">
        <v>64</v>
      </c>
      <c r="C20" s="20" t="n">
        <v>3</v>
      </c>
    </row>
    <row r="21" customFormat="false" ht="15" hidden="false" customHeight="false" outlineLevel="0" collapsed="false">
      <c r="A21" s="19" t="s">
        <v>149</v>
      </c>
      <c r="B21" s="20" t="s">
        <v>66</v>
      </c>
      <c r="C21" s="20" t="n">
        <v>2</v>
      </c>
    </row>
    <row r="22" customFormat="false" ht="15" hidden="false" customHeight="false" outlineLevel="0" collapsed="false">
      <c r="A22" s="19" t="s">
        <v>150</v>
      </c>
      <c r="B22" s="20" t="s">
        <v>64</v>
      </c>
      <c r="C22" s="20" t="n">
        <v>3</v>
      </c>
    </row>
    <row r="23" customFormat="false" ht="15" hidden="false" customHeight="false" outlineLevel="0" collapsed="false">
      <c r="A23" s="19" t="s">
        <v>151</v>
      </c>
      <c r="B23" s="20" t="s">
        <v>64</v>
      </c>
      <c r="C23" s="20" t="n">
        <v>3</v>
      </c>
    </row>
    <row r="24" customFormat="false" ht="15" hidden="false" customHeight="false" outlineLevel="0" collapsed="false">
      <c r="A24" s="19" t="s">
        <v>152</v>
      </c>
      <c r="B24" s="20" t="s">
        <v>64</v>
      </c>
      <c r="C24" s="20" t="n">
        <v>3</v>
      </c>
    </row>
    <row r="25" customFormat="false" ht="15" hidden="false" customHeight="false" outlineLevel="0" collapsed="false">
      <c r="A25" s="19" t="s">
        <v>153</v>
      </c>
      <c r="B25" s="20" t="s">
        <v>64</v>
      </c>
      <c r="C25" s="20" t="n">
        <v>3</v>
      </c>
    </row>
    <row r="26" customFormat="false" ht="15" hidden="false" customHeight="false" outlineLevel="0" collapsed="false">
      <c r="A26" s="19" t="s">
        <v>154</v>
      </c>
      <c r="B26" s="20" t="s">
        <v>66</v>
      </c>
      <c r="C26" s="20" t="n">
        <v>2</v>
      </c>
    </row>
    <row r="27" customFormat="false" ht="15" hidden="false" customHeight="false" outlineLevel="0" collapsed="false">
      <c r="A27" s="19" t="s">
        <v>155</v>
      </c>
      <c r="B27" s="20" t="s">
        <v>66</v>
      </c>
      <c r="C27" s="20" t="n">
        <v>2</v>
      </c>
    </row>
    <row r="28" customFormat="false" ht="15" hidden="false" customHeight="false" outlineLevel="0" collapsed="false">
      <c r="A28" s="19" t="s">
        <v>156</v>
      </c>
      <c r="B28" s="20" t="s">
        <v>64</v>
      </c>
      <c r="C28" s="20" t="n">
        <v>3</v>
      </c>
    </row>
    <row r="29" customFormat="false" ht="15" hidden="false" customHeight="false" outlineLevel="0" collapsed="false">
      <c r="A29" s="19" t="s">
        <v>157</v>
      </c>
      <c r="B29" s="20" t="s">
        <v>64</v>
      </c>
      <c r="C29" s="20" t="n">
        <v>3</v>
      </c>
    </row>
    <row r="30" customFormat="false" ht="15" hidden="false" customHeight="false" outlineLevel="0" collapsed="false">
      <c r="A30" s="19" t="s">
        <v>158</v>
      </c>
      <c r="B30" s="20" t="s">
        <v>64</v>
      </c>
      <c r="C30" s="20" t="n">
        <v>3</v>
      </c>
    </row>
    <row r="31" customFormat="false" ht="15" hidden="false" customHeight="false" outlineLevel="0" collapsed="false">
      <c r="A31" s="19" t="s">
        <v>159</v>
      </c>
      <c r="B31" s="20" t="s">
        <v>64</v>
      </c>
      <c r="C31" s="20" t="n">
        <v>3</v>
      </c>
    </row>
    <row r="32" customFormat="false" ht="15" hidden="false" customHeight="false" outlineLevel="0" collapsed="false">
      <c r="A32" s="19" t="s">
        <v>160</v>
      </c>
      <c r="B32" s="20" t="s">
        <v>64</v>
      </c>
      <c r="C32" s="20" t="n">
        <v>3</v>
      </c>
    </row>
    <row r="33" customFormat="false" ht="15" hidden="false" customHeight="false" outlineLevel="0" collapsed="false">
      <c r="A33" s="19" t="s">
        <v>161</v>
      </c>
      <c r="B33" s="20" t="s">
        <v>61</v>
      </c>
      <c r="C33" s="20" t="n">
        <v>1</v>
      </c>
    </row>
    <row r="34" customFormat="false" ht="15" hidden="false" customHeight="false" outlineLevel="0" collapsed="false">
      <c r="A34" s="19" t="s">
        <v>162</v>
      </c>
      <c r="B34" s="20" t="s">
        <v>64</v>
      </c>
      <c r="C34" s="20" t="n">
        <v>3</v>
      </c>
    </row>
    <row r="35" customFormat="false" ht="15" hidden="false" customHeight="false" outlineLevel="0" collapsed="false">
      <c r="A35" s="19" t="s">
        <v>163</v>
      </c>
      <c r="B35" s="20" t="s">
        <v>64</v>
      </c>
      <c r="C35" s="20" t="n">
        <v>3</v>
      </c>
    </row>
    <row r="36" customFormat="false" ht="15" hidden="false" customHeight="false" outlineLevel="0" collapsed="false">
      <c r="A36" s="19" t="s">
        <v>164</v>
      </c>
      <c r="B36" s="20" t="s">
        <v>66</v>
      </c>
      <c r="C36" s="20" t="n">
        <v>2</v>
      </c>
    </row>
    <row r="37" customFormat="false" ht="15" hidden="false" customHeight="false" outlineLevel="0" collapsed="false">
      <c r="A37" s="19" t="s">
        <v>165</v>
      </c>
      <c r="B37" s="20" t="s">
        <v>66</v>
      </c>
      <c r="C37" s="20" t="n">
        <v>2</v>
      </c>
    </row>
    <row r="38" customFormat="false" ht="15" hidden="false" customHeight="false" outlineLevel="0" collapsed="false">
      <c r="A38" s="19" t="s">
        <v>166</v>
      </c>
      <c r="B38" s="20" t="s">
        <v>64</v>
      </c>
      <c r="C38" s="20" t="n">
        <v>3</v>
      </c>
    </row>
    <row r="39" customFormat="false" ht="15" hidden="false" customHeight="false" outlineLevel="0" collapsed="false">
      <c r="A39" s="19" t="s">
        <v>167</v>
      </c>
      <c r="B39" s="20" t="s">
        <v>64</v>
      </c>
      <c r="C39" s="20" t="n">
        <v>3</v>
      </c>
    </row>
    <row r="40" customFormat="false" ht="15" hidden="false" customHeight="false" outlineLevel="0" collapsed="false">
      <c r="A40" s="19" t="s">
        <v>168</v>
      </c>
      <c r="B40" s="20" t="s">
        <v>64</v>
      </c>
      <c r="C40" s="20" t="n">
        <v>3</v>
      </c>
    </row>
    <row r="41" customFormat="false" ht="15" hidden="false" customHeight="false" outlineLevel="0" collapsed="false">
      <c r="A41" s="19" t="s">
        <v>169</v>
      </c>
      <c r="B41" s="20" t="s">
        <v>61</v>
      </c>
      <c r="C41" s="20" t="n">
        <v>1</v>
      </c>
    </row>
    <row r="42" customFormat="false" ht="15" hidden="false" customHeight="false" outlineLevel="0" collapsed="false">
      <c r="A42" s="19" t="s">
        <v>170</v>
      </c>
      <c r="B42" s="20" t="s">
        <v>66</v>
      </c>
      <c r="C42" s="20" t="n">
        <v>2</v>
      </c>
    </row>
    <row r="43" customFormat="false" ht="15" hidden="false" customHeight="false" outlineLevel="0" collapsed="false">
      <c r="A43" s="19" t="s">
        <v>171</v>
      </c>
      <c r="B43" s="20" t="s">
        <v>61</v>
      </c>
      <c r="C43" s="20" t="n">
        <v>1</v>
      </c>
    </row>
    <row r="44" customFormat="false" ht="15" hidden="false" customHeight="false" outlineLevel="0" collapsed="false">
      <c r="A44" s="19" t="s">
        <v>172</v>
      </c>
      <c r="B44" s="20" t="s">
        <v>64</v>
      </c>
      <c r="C44" s="20" t="n">
        <v>3</v>
      </c>
    </row>
    <row r="45" customFormat="false" ht="15" hidden="false" customHeight="false" outlineLevel="0" collapsed="false">
      <c r="A45" s="19" t="s">
        <v>173</v>
      </c>
      <c r="B45" s="20" t="s">
        <v>64</v>
      </c>
      <c r="C45" s="20" t="n">
        <v>3</v>
      </c>
    </row>
    <row r="46" customFormat="false" ht="15" hidden="false" customHeight="false" outlineLevel="0" collapsed="false">
      <c r="A46" s="19" t="s">
        <v>174</v>
      </c>
      <c r="B46" s="20" t="s">
        <v>64</v>
      </c>
      <c r="C46" s="20" t="n">
        <v>3</v>
      </c>
    </row>
    <row r="47" customFormat="false" ht="15" hidden="false" customHeight="false" outlineLevel="0" collapsed="false">
      <c r="A47" s="19" t="s">
        <v>175</v>
      </c>
      <c r="B47" s="20" t="s">
        <v>64</v>
      </c>
      <c r="C47" s="20" t="n">
        <v>3</v>
      </c>
    </row>
    <row r="48" customFormat="false" ht="15" hidden="false" customHeight="false" outlineLevel="0" collapsed="false">
      <c r="A48" s="19" t="s">
        <v>176</v>
      </c>
      <c r="B48" s="20" t="s">
        <v>64</v>
      </c>
      <c r="C48" s="20" t="n">
        <v>3</v>
      </c>
    </row>
    <row r="49" customFormat="false" ht="15" hidden="false" customHeight="false" outlineLevel="0" collapsed="false">
      <c r="A49" s="19" t="s">
        <v>177</v>
      </c>
      <c r="B49" s="20" t="s">
        <v>66</v>
      </c>
      <c r="C49" s="20" t="n">
        <v>2</v>
      </c>
    </row>
    <row r="50" customFormat="false" ht="15" hidden="false" customHeight="false" outlineLevel="0" collapsed="false">
      <c r="A50" s="19" t="s">
        <v>178</v>
      </c>
      <c r="B50" s="20" t="s">
        <v>66</v>
      </c>
      <c r="C50" s="20" t="n">
        <v>2</v>
      </c>
    </row>
    <row r="51" customFormat="false" ht="15" hidden="false" customHeight="false" outlineLevel="0" collapsed="false">
      <c r="A51" s="19" t="s">
        <v>179</v>
      </c>
      <c r="B51" s="20" t="s">
        <v>64</v>
      </c>
      <c r="C51" s="20" t="n">
        <v>3</v>
      </c>
    </row>
    <row r="52" customFormat="false" ht="15" hidden="false" customHeight="false" outlineLevel="0" collapsed="false">
      <c r="A52" s="19" t="s">
        <v>180</v>
      </c>
      <c r="B52" s="20" t="s">
        <v>64</v>
      </c>
      <c r="C52" s="20" t="n">
        <v>3</v>
      </c>
    </row>
    <row r="53" customFormat="false" ht="15" hidden="false" customHeight="false" outlineLevel="0" collapsed="false">
      <c r="A53" s="19" t="s">
        <v>181</v>
      </c>
      <c r="B53" s="20" t="s">
        <v>66</v>
      </c>
      <c r="C53" s="20" t="n">
        <v>2</v>
      </c>
    </row>
    <row r="54" customFormat="false" ht="15" hidden="false" customHeight="false" outlineLevel="0" collapsed="false">
      <c r="A54" s="19" t="s">
        <v>182</v>
      </c>
      <c r="B54" s="20" t="s">
        <v>64</v>
      </c>
      <c r="C54" s="20" t="n">
        <v>3</v>
      </c>
    </row>
    <row r="55" customFormat="false" ht="15" hidden="false" customHeight="false" outlineLevel="0" collapsed="false">
      <c r="A55" s="19" t="s">
        <v>183</v>
      </c>
      <c r="B55" s="20" t="s">
        <v>61</v>
      </c>
      <c r="C55" s="20" t="n">
        <v>1</v>
      </c>
    </row>
    <row r="56" customFormat="false" ht="15" hidden="false" customHeight="false" outlineLevel="0" collapsed="false">
      <c r="A56" s="19" t="s">
        <v>184</v>
      </c>
      <c r="B56" s="20" t="s">
        <v>64</v>
      </c>
      <c r="C56" s="20" t="n">
        <v>3</v>
      </c>
    </row>
    <row r="57" customFormat="false" ht="15" hidden="false" customHeight="false" outlineLevel="0" collapsed="false">
      <c r="A57" s="19" t="s">
        <v>185</v>
      </c>
      <c r="B57" s="20" t="s">
        <v>66</v>
      </c>
      <c r="C57" s="20" t="n">
        <v>2</v>
      </c>
    </row>
    <row r="58" customFormat="false" ht="15" hidden="false" customHeight="false" outlineLevel="0" collapsed="false">
      <c r="A58" s="19" t="s">
        <v>186</v>
      </c>
      <c r="B58" s="20" t="s">
        <v>61</v>
      </c>
      <c r="C58" s="20" t="n">
        <v>1</v>
      </c>
    </row>
    <row r="59" customFormat="false" ht="15" hidden="false" customHeight="false" outlineLevel="0" collapsed="false">
      <c r="A59" s="19" t="s">
        <v>187</v>
      </c>
      <c r="B59" s="20" t="s">
        <v>61</v>
      </c>
      <c r="C59" s="20" t="n">
        <v>1</v>
      </c>
    </row>
    <row r="60" customFormat="false" ht="15" hidden="false" customHeight="false" outlineLevel="0" collapsed="false">
      <c r="A60" s="19" t="s">
        <v>188</v>
      </c>
      <c r="B60" s="20" t="s">
        <v>61</v>
      </c>
      <c r="C60" s="20" t="n">
        <v>1</v>
      </c>
    </row>
    <row r="61" customFormat="false" ht="15" hidden="false" customHeight="false" outlineLevel="0" collapsed="false">
      <c r="A61" s="19" t="s">
        <v>189</v>
      </c>
      <c r="B61" s="20" t="s">
        <v>64</v>
      </c>
      <c r="C61" s="20" t="n">
        <v>3</v>
      </c>
    </row>
    <row r="62" customFormat="false" ht="15" hidden="false" customHeight="false" outlineLevel="0" collapsed="false">
      <c r="A62" s="19" t="s">
        <v>190</v>
      </c>
      <c r="B62" s="20" t="s">
        <v>64</v>
      </c>
      <c r="C62" s="20" t="n">
        <v>3</v>
      </c>
    </row>
    <row r="63" customFormat="false" ht="15" hidden="false" customHeight="false" outlineLevel="0" collapsed="false">
      <c r="A63" s="19" t="s">
        <v>191</v>
      </c>
      <c r="B63" s="20" t="s">
        <v>64</v>
      </c>
      <c r="C63" s="20" t="n">
        <v>3</v>
      </c>
    </row>
    <row r="64" customFormat="false" ht="15" hidden="false" customHeight="false" outlineLevel="0" collapsed="false">
      <c r="A64" s="19" t="s">
        <v>192</v>
      </c>
      <c r="B64" s="20" t="s">
        <v>61</v>
      </c>
      <c r="C64" s="20" t="n">
        <v>1</v>
      </c>
    </row>
    <row r="65" customFormat="false" ht="15" hidden="false" customHeight="false" outlineLevel="0" collapsed="false">
      <c r="A65" s="19" t="s">
        <v>193</v>
      </c>
      <c r="B65" s="20" t="s">
        <v>64</v>
      </c>
      <c r="C65" s="20" t="n">
        <v>3</v>
      </c>
    </row>
    <row r="66" customFormat="false" ht="15" hidden="false" customHeight="false" outlineLevel="0" collapsed="false">
      <c r="A66" s="19" t="s">
        <v>194</v>
      </c>
      <c r="B66" s="20" t="s">
        <v>66</v>
      </c>
      <c r="C66" s="20" t="n">
        <v>2</v>
      </c>
    </row>
    <row r="67" customFormat="false" ht="15" hidden="false" customHeight="false" outlineLevel="0" collapsed="false">
      <c r="A67" s="19" t="s">
        <v>195</v>
      </c>
      <c r="B67" s="20" t="s">
        <v>64</v>
      </c>
      <c r="C67" s="20" t="n">
        <v>3</v>
      </c>
    </row>
    <row r="68" customFormat="false" ht="15" hidden="false" customHeight="false" outlineLevel="0" collapsed="false">
      <c r="A68" s="19" t="s">
        <v>196</v>
      </c>
      <c r="B68" s="20" t="s">
        <v>61</v>
      </c>
      <c r="C68" s="20" t="n">
        <v>1</v>
      </c>
    </row>
    <row r="69" customFormat="false" ht="15" hidden="false" customHeight="false" outlineLevel="0" collapsed="false">
      <c r="A69" s="19" t="s">
        <v>197</v>
      </c>
      <c r="B69" s="20" t="s">
        <v>66</v>
      </c>
      <c r="C69" s="20" t="n">
        <v>2</v>
      </c>
    </row>
    <row r="70" customFormat="false" ht="15" hidden="false" customHeight="false" outlineLevel="0" collapsed="false">
      <c r="A70" s="19" t="s">
        <v>198</v>
      </c>
      <c r="B70" s="20" t="s">
        <v>64</v>
      </c>
      <c r="C70" s="20" t="n">
        <v>3</v>
      </c>
    </row>
    <row r="71" customFormat="false" ht="15" hidden="false" customHeight="false" outlineLevel="0" collapsed="false">
      <c r="A71" s="19" t="s">
        <v>199</v>
      </c>
      <c r="B71" s="20" t="s">
        <v>66</v>
      </c>
      <c r="C71" s="20" t="n">
        <v>2</v>
      </c>
    </row>
    <row r="72" customFormat="false" ht="15" hidden="false" customHeight="false" outlineLevel="0" collapsed="false">
      <c r="A72" s="19" t="s">
        <v>200</v>
      </c>
      <c r="B72" s="20" t="s">
        <v>66</v>
      </c>
      <c r="C72" s="20" t="n">
        <v>2</v>
      </c>
    </row>
    <row r="73" customFormat="false" ht="15" hidden="false" customHeight="false" outlineLevel="0" collapsed="false">
      <c r="A73" s="19" t="s">
        <v>201</v>
      </c>
      <c r="B73" s="20" t="s">
        <v>66</v>
      </c>
      <c r="C73" s="20" t="n">
        <v>2</v>
      </c>
    </row>
    <row r="74" customFormat="false" ht="15" hidden="false" customHeight="false" outlineLevel="0" collapsed="false">
      <c r="A74" s="19" t="s">
        <v>202</v>
      </c>
      <c r="B74" s="20" t="s">
        <v>64</v>
      </c>
      <c r="C74" s="20" t="n">
        <v>3</v>
      </c>
    </row>
    <row r="75" customFormat="false" ht="15" hidden="false" customHeight="false" outlineLevel="0" collapsed="false">
      <c r="A75" s="19" t="s">
        <v>203</v>
      </c>
      <c r="B75" s="20" t="s">
        <v>66</v>
      </c>
      <c r="C75" s="20" t="n">
        <v>2</v>
      </c>
    </row>
    <row r="76" customFormat="false" ht="15" hidden="false" customHeight="false" outlineLevel="0" collapsed="false">
      <c r="A76" s="19" t="s">
        <v>204</v>
      </c>
      <c r="B76" s="20" t="s">
        <v>61</v>
      </c>
      <c r="C76" s="20" t="n">
        <v>1</v>
      </c>
    </row>
    <row r="77" customFormat="false" ht="15" hidden="false" customHeight="false" outlineLevel="0" collapsed="false">
      <c r="A77" s="19" t="s">
        <v>205</v>
      </c>
      <c r="B77" s="20" t="s">
        <v>64</v>
      </c>
      <c r="C77" s="20" t="n">
        <v>3</v>
      </c>
    </row>
    <row r="78" customFormat="false" ht="15" hidden="false" customHeight="false" outlineLevel="0" collapsed="false">
      <c r="A78" s="19" t="s">
        <v>206</v>
      </c>
      <c r="B78" s="20" t="s">
        <v>64</v>
      </c>
      <c r="C78" s="20" t="n">
        <v>3</v>
      </c>
    </row>
    <row r="79" customFormat="false" ht="15" hidden="false" customHeight="false" outlineLevel="0" collapsed="false">
      <c r="A79" s="19" t="s">
        <v>207</v>
      </c>
      <c r="B79" s="20" t="s">
        <v>64</v>
      </c>
      <c r="C79" s="20" t="n">
        <v>3</v>
      </c>
    </row>
    <row r="80" customFormat="false" ht="15" hidden="false" customHeight="false" outlineLevel="0" collapsed="false">
      <c r="A80" s="19" t="s">
        <v>208</v>
      </c>
      <c r="B80" s="20" t="s">
        <v>64</v>
      </c>
      <c r="C80" s="20" t="n">
        <v>3</v>
      </c>
    </row>
    <row r="81" customFormat="false" ht="15" hidden="false" customHeight="false" outlineLevel="0" collapsed="false">
      <c r="A81" s="19" t="s">
        <v>209</v>
      </c>
      <c r="B81" s="20" t="s">
        <v>66</v>
      </c>
      <c r="C81" s="20" t="n">
        <v>2</v>
      </c>
    </row>
    <row r="82" customFormat="false" ht="15" hidden="false" customHeight="false" outlineLevel="0" collapsed="false">
      <c r="A82" s="19" t="s">
        <v>210</v>
      </c>
      <c r="B82" s="20" t="s">
        <v>66</v>
      </c>
      <c r="C82" s="20" t="n">
        <v>2</v>
      </c>
    </row>
    <row r="83" customFormat="false" ht="15" hidden="false" customHeight="false" outlineLevel="0" collapsed="false">
      <c r="A83" s="19" t="s">
        <v>211</v>
      </c>
      <c r="B83" s="20" t="s">
        <v>64</v>
      </c>
      <c r="C83" s="20" t="n">
        <v>3</v>
      </c>
    </row>
    <row r="84" customFormat="false" ht="15" hidden="false" customHeight="false" outlineLevel="0" collapsed="false">
      <c r="A84" s="19" t="s">
        <v>212</v>
      </c>
      <c r="B84" s="20" t="s">
        <v>66</v>
      </c>
      <c r="C84" s="20" t="n">
        <v>2</v>
      </c>
    </row>
    <row r="85" customFormat="false" ht="15" hidden="false" customHeight="false" outlineLevel="0" collapsed="false">
      <c r="A85" s="19" t="s">
        <v>213</v>
      </c>
      <c r="B85" s="20" t="s">
        <v>66</v>
      </c>
      <c r="C85" s="20" t="n">
        <v>2</v>
      </c>
    </row>
    <row r="86" customFormat="false" ht="15" hidden="false" customHeight="false" outlineLevel="0" collapsed="false">
      <c r="A86" s="19" t="s">
        <v>214</v>
      </c>
      <c r="B86" s="20" t="s">
        <v>64</v>
      </c>
      <c r="C86" s="20" t="n">
        <v>3</v>
      </c>
    </row>
    <row r="87" customFormat="false" ht="15" hidden="false" customHeight="false" outlineLevel="0" collapsed="false">
      <c r="A87" s="19" t="s">
        <v>215</v>
      </c>
      <c r="B87" s="20" t="s">
        <v>66</v>
      </c>
      <c r="C87" s="20" t="n">
        <v>2</v>
      </c>
    </row>
    <row r="88" customFormat="false" ht="15" hidden="false" customHeight="false" outlineLevel="0" collapsed="false">
      <c r="A88" s="19" t="s">
        <v>216</v>
      </c>
      <c r="B88" s="20" t="s">
        <v>64</v>
      </c>
      <c r="C88" s="20" t="n">
        <v>3</v>
      </c>
    </row>
    <row r="89" customFormat="false" ht="15" hidden="false" customHeight="false" outlineLevel="0" collapsed="false">
      <c r="A89" s="19" t="s">
        <v>217</v>
      </c>
      <c r="B89" s="20" t="s">
        <v>64</v>
      </c>
      <c r="C89" s="20" t="n">
        <v>3</v>
      </c>
    </row>
    <row r="90" customFormat="false" ht="15" hidden="false" customHeight="false" outlineLevel="0" collapsed="false">
      <c r="A90" s="19" t="s">
        <v>218</v>
      </c>
      <c r="B90" s="20" t="s">
        <v>64</v>
      </c>
      <c r="C90" s="20" t="n">
        <v>3</v>
      </c>
    </row>
    <row r="91" customFormat="false" ht="15" hidden="false" customHeight="false" outlineLevel="0" collapsed="false">
      <c r="A91" s="19" t="s">
        <v>219</v>
      </c>
      <c r="B91" s="20" t="s">
        <v>66</v>
      </c>
      <c r="C91" s="20" t="n">
        <v>2</v>
      </c>
    </row>
    <row r="92" customFormat="false" ht="15" hidden="false" customHeight="false" outlineLevel="0" collapsed="false">
      <c r="A92" s="19" t="s">
        <v>220</v>
      </c>
      <c r="B92" s="20" t="s">
        <v>66</v>
      </c>
      <c r="C92" s="20" t="n">
        <v>2</v>
      </c>
    </row>
    <row r="93" customFormat="false" ht="15" hidden="false" customHeight="false" outlineLevel="0" collapsed="false">
      <c r="A93" s="19" t="s">
        <v>221</v>
      </c>
      <c r="B93" s="20" t="s">
        <v>66</v>
      </c>
      <c r="C93" s="20" t="n">
        <v>2</v>
      </c>
    </row>
    <row r="94" customFormat="false" ht="15" hidden="false" customHeight="false" outlineLevel="0" collapsed="false">
      <c r="A94" s="19" t="s">
        <v>222</v>
      </c>
      <c r="B94" s="20" t="s">
        <v>66</v>
      </c>
      <c r="C94" s="20" t="n">
        <v>2</v>
      </c>
    </row>
    <row r="95" customFormat="false" ht="15" hidden="false" customHeight="false" outlineLevel="0" collapsed="false">
      <c r="A95" s="19" t="s">
        <v>223</v>
      </c>
      <c r="B95" s="20" t="s">
        <v>66</v>
      </c>
      <c r="C95" s="20" t="n">
        <v>2</v>
      </c>
    </row>
    <row r="96" customFormat="false" ht="15" hidden="false" customHeight="false" outlineLevel="0" collapsed="false">
      <c r="A96" s="19" t="s">
        <v>224</v>
      </c>
      <c r="B96" s="20" t="s">
        <v>61</v>
      </c>
      <c r="C96" s="20" t="n">
        <v>1</v>
      </c>
    </row>
    <row r="97" customFormat="false" ht="15" hidden="false" customHeight="false" outlineLevel="0" collapsed="false">
      <c r="A97" s="19" t="s">
        <v>225</v>
      </c>
      <c r="B97" s="20" t="s">
        <v>61</v>
      </c>
      <c r="C97" s="20" t="n">
        <v>1</v>
      </c>
    </row>
    <row r="98" customFormat="false" ht="15" hidden="false" customHeight="false" outlineLevel="0" collapsed="false">
      <c r="A98" s="19" t="s">
        <v>226</v>
      </c>
      <c r="B98" s="20" t="s">
        <v>64</v>
      </c>
      <c r="C98" s="20" t="n">
        <v>3</v>
      </c>
    </row>
    <row r="99" customFormat="false" ht="15" hidden="false" customHeight="false" outlineLevel="0" collapsed="false">
      <c r="A99" s="19" t="s">
        <v>227</v>
      </c>
      <c r="B99" s="20" t="s">
        <v>66</v>
      </c>
      <c r="C99" s="20" t="n">
        <v>2</v>
      </c>
    </row>
    <row r="100" customFormat="false" ht="15" hidden="false" customHeight="false" outlineLevel="0" collapsed="false">
      <c r="A100" s="19" t="s">
        <v>228</v>
      </c>
      <c r="B100" s="20" t="s">
        <v>64</v>
      </c>
      <c r="C100" s="20" t="n">
        <v>3</v>
      </c>
    </row>
    <row r="101" customFormat="false" ht="15" hidden="false" customHeight="false" outlineLevel="0" collapsed="false">
      <c r="A101" s="19" t="s">
        <v>229</v>
      </c>
      <c r="B101" s="20" t="s">
        <v>66</v>
      </c>
      <c r="C101" s="20" t="n">
        <v>2</v>
      </c>
    </row>
    <row r="102" customFormat="false" ht="15" hidden="false" customHeight="false" outlineLevel="0" collapsed="false">
      <c r="A102" s="19" t="s">
        <v>230</v>
      </c>
      <c r="B102" s="20" t="s">
        <v>64</v>
      </c>
      <c r="C102" s="20" t="n">
        <v>3</v>
      </c>
    </row>
    <row r="103" customFormat="false" ht="15" hidden="false" customHeight="false" outlineLevel="0" collapsed="false">
      <c r="A103" s="19" t="s">
        <v>231</v>
      </c>
      <c r="B103" s="20" t="s">
        <v>64</v>
      </c>
      <c r="C103" s="20" t="n">
        <v>3</v>
      </c>
    </row>
    <row r="104" customFormat="false" ht="15" hidden="false" customHeight="false" outlineLevel="0" collapsed="false">
      <c r="A104" s="19" t="s">
        <v>232</v>
      </c>
      <c r="B104" s="20" t="s">
        <v>66</v>
      </c>
      <c r="C104" s="20" t="n">
        <v>2</v>
      </c>
    </row>
    <row r="105" customFormat="false" ht="15" hidden="false" customHeight="false" outlineLevel="0" collapsed="false">
      <c r="A105" s="19" t="s">
        <v>233</v>
      </c>
      <c r="B105" s="20" t="s">
        <v>66</v>
      </c>
      <c r="C105" s="20" t="n">
        <v>2</v>
      </c>
    </row>
    <row r="106" customFormat="false" ht="15" hidden="false" customHeight="false" outlineLevel="0" collapsed="false">
      <c r="A106" s="19" t="s">
        <v>234</v>
      </c>
      <c r="B106" s="20" t="s">
        <v>61</v>
      </c>
      <c r="C106" s="20" t="n">
        <v>1</v>
      </c>
    </row>
    <row r="107" customFormat="false" ht="15" hidden="false" customHeight="false" outlineLevel="0" collapsed="false">
      <c r="A107" s="19" t="s">
        <v>235</v>
      </c>
      <c r="B107" s="20" t="s">
        <v>64</v>
      </c>
      <c r="C107" s="20" t="n">
        <v>3</v>
      </c>
    </row>
    <row r="108" customFormat="false" ht="15" hidden="false" customHeight="false" outlineLevel="0" collapsed="false">
      <c r="A108" s="19" t="s">
        <v>236</v>
      </c>
      <c r="B108" s="20" t="s">
        <v>61</v>
      </c>
      <c r="C108" s="20" t="n">
        <v>1</v>
      </c>
    </row>
    <row r="109" customFormat="false" ht="15" hidden="false" customHeight="false" outlineLevel="0" collapsed="false">
      <c r="A109" s="19" t="s">
        <v>237</v>
      </c>
      <c r="B109" s="20" t="s">
        <v>64</v>
      </c>
      <c r="C109" s="20" t="n">
        <v>3</v>
      </c>
    </row>
    <row r="110" customFormat="false" ht="15" hidden="false" customHeight="false" outlineLevel="0" collapsed="false">
      <c r="A110" s="19" t="s">
        <v>238</v>
      </c>
      <c r="B110" s="20" t="s">
        <v>66</v>
      </c>
      <c r="C110" s="20" t="n">
        <v>2</v>
      </c>
    </row>
    <row r="111" customFormat="false" ht="15" hidden="false" customHeight="false" outlineLevel="0" collapsed="false">
      <c r="A111" s="19" t="s">
        <v>239</v>
      </c>
      <c r="B111" s="20" t="s">
        <v>64</v>
      </c>
      <c r="C111" s="20" t="n">
        <v>3</v>
      </c>
    </row>
    <row r="112" customFormat="false" ht="15" hidden="false" customHeight="false" outlineLevel="0" collapsed="false">
      <c r="A112" s="19" t="s">
        <v>240</v>
      </c>
      <c r="B112" s="20" t="s">
        <v>61</v>
      </c>
      <c r="C112" s="20" t="n">
        <v>1</v>
      </c>
    </row>
    <row r="113" customFormat="false" ht="15" hidden="false" customHeight="false" outlineLevel="0" collapsed="false">
      <c r="A113" s="19" t="s">
        <v>241</v>
      </c>
      <c r="B113" s="20" t="s">
        <v>64</v>
      </c>
      <c r="C113" s="20" t="n">
        <v>3</v>
      </c>
    </row>
    <row r="114" customFormat="false" ht="15" hidden="false" customHeight="false" outlineLevel="0" collapsed="false">
      <c r="A114" s="19" t="s">
        <v>242</v>
      </c>
      <c r="B114" s="20" t="s">
        <v>66</v>
      </c>
      <c r="C114" s="20" t="n">
        <v>2</v>
      </c>
    </row>
    <row r="115" customFormat="false" ht="15" hidden="false" customHeight="false" outlineLevel="0" collapsed="false">
      <c r="A115" s="19" t="s">
        <v>243</v>
      </c>
      <c r="B115" s="20" t="s">
        <v>66</v>
      </c>
      <c r="C115" s="20" t="n">
        <v>2</v>
      </c>
    </row>
    <row r="116" customFormat="false" ht="15" hidden="false" customHeight="false" outlineLevel="0" collapsed="false">
      <c r="A116" s="19" t="s">
        <v>244</v>
      </c>
      <c r="B116" s="20" t="s">
        <v>66</v>
      </c>
      <c r="C116" s="20" t="n">
        <v>2</v>
      </c>
    </row>
    <row r="117" customFormat="false" ht="15" hidden="false" customHeight="false" outlineLevel="0" collapsed="false">
      <c r="A117" s="19" t="s">
        <v>245</v>
      </c>
      <c r="B117" s="20" t="s">
        <v>66</v>
      </c>
      <c r="C117" s="20" t="n">
        <v>2</v>
      </c>
    </row>
    <row r="118" customFormat="false" ht="15" hidden="false" customHeight="false" outlineLevel="0" collapsed="false">
      <c r="A118" s="19" t="s">
        <v>246</v>
      </c>
      <c r="B118" s="20" t="s">
        <v>66</v>
      </c>
      <c r="C118" s="20" t="n">
        <v>2</v>
      </c>
    </row>
    <row r="119" customFormat="false" ht="15" hidden="false" customHeight="false" outlineLevel="0" collapsed="false">
      <c r="A119" s="19" t="s">
        <v>247</v>
      </c>
      <c r="B119" s="20" t="s">
        <v>61</v>
      </c>
      <c r="C119" s="20" t="n">
        <v>1</v>
      </c>
    </row>
    <row r="120" customFormat="false" ht="15" hidden="false" customHeight="false" outlineLevel="0" collapsed="false">
      <c r="A120" s="19" t="s">
        <v>248</v>
      </c>
      <c r="B120" s="20" t="s">
        <v>64</v>
      </c>
      <c r="C120" s="20" t="n">
        <v>3</v>
      </c>
    </row>
    <row r="121" customFormat="false" ht="15" hidden="false" customHeight="false" outlineLevel="0" collapsed="false">
      <c r="A121" s="19" t="s">
        <v>249</v>
      </c>
      <c r="B121" s="20" t="s">
        <v>64</v>
      </c>
      <c r="C121" s="20" t="n">
        <v>3</v>
      </c>
    </row>
    <row r="122" customFormat="false" ht="15" hidden="false" customHeight="false" outlineLevel="0" collapsed="false">
      <c r="A122" s="19" t="s">
        <v>250</v>
      </c>
      <c r="B122" s="20" t="s">
        <v>64</v>
      </c>
      <c r="C122" s="20" t="n">
        <v>3</v>
      </c>
    </row>
    <row r="123" customFormat="false" ht="15" hidden="false" customHeight="false" outlineLevel="0" collapsed="false">
      <c r="A123" s="19" t="s">
        <v>251</v>
      </c>
      <c r="B123" s="20" t="s">
        <v>66</v>
      </c>
      <c r="C123" s="20" t="n">
        <v>2</v>
      </c>
    </row>
    <row r="124" customFormat="false" ht="15" hidden="false" customHeight="false" outlineLevel="0" collapsed="false">
      <c r="A124" s="19" t="s">
        <v>252</v>
      </c>
      <c r="B124" s="20" t="s">
        <v>61</v>
      </c>
      <c r="C124" s="20" t="n">
        <v>1</v>
      </c>
    </row>
    <row r="125" customFormat="false" ht="15" hidden="false" customHeight="false" outlineLevel="0" collapsed="false">
      <c r="A125" s="19" t="s">
        <v>253</v>
      </c>
      <c r="B125" s="20" t="s">
        <v>61</v>
      </c>
      <c r="C125" s="20" t="n">
        <v>1</v>
      </c>
    </row>
    <row r="126" customFormat="false" ht="15" hidden="false" customHeight="false" outlineLevel="0" collapsed="false">
      <c r="A126" s="19" t="s">
        <v>254</v>
      </c>
      <c r="B126" s="20" t="s">
        <v>64</v>
      </c>
      <c r="C126" s="20" t="n">
        <v>3</v>
      </c>
    </row>
    <row r="127" customFormat="false" ht="15" hidden="false" customHeight="false" outlineLevel="0" collapsed="false">
      <c r="A127" s="19" t="s">
        <v>255</v>
      </c>
      <c r="B127" s="20" t="s">
        <v>64</v>
      </c>
      <c r="C127" s="20" t="n">
        <v>3</v>
      </c>
    </row>
    <row r="128" customFormat="false" ht="15" hidden="false" customHeight="false" outlineLevel="0" collapsed="false">
      <c r="A128" s="19" t="s">
        <v>256</v>
      </c>
      <c r="B128" s="20" t="s">
        <v>64</v>
      </c>
      <c r="C128" s="20" t="n">
        <v>3</v>
      </c>
    </row>
    <row r="129" customFormat="false" ht="15" hidden="false" customHeight="false" outlineLevel="0" collapsed="false">
      <c r="A129" s="19" t="s">
        <v>257</v>
      </c>
      <c r="B129" s="20" t="s">
        <v>64</v>
      </c>
      <c r="C129" s="20" t="n">
        <v>3</v>
      </c>
    </row>
    <row r="131" customFormat="false" ht="15" hidden="false" customHeight="false" outlineLevel="0" collapsed="false">
      <c r="A131" s="10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1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91" min="2" style="0" width="9"/>
    <col collapsed="false" customWidth="true" hidden="false" outlineLevel="0" max="93" min="93" style="0" width="14"/>
  </cols>
  <sheetData>
    <row r="1" customFormat="false" ht="17.35" hidden="false" customHeight="false" outlineLevel="0" collapsed="false">
      <c r="A1" s="1" t="s">
        <v>259</v>
      </c>
    </row>
    <row r="2" customFormat="false" ht="27.75" hidden="false" customHeight="true" outlineLevel="0" collapsed="false">
      <c r="A2" s="5" t="s">
        <v>260</v>
      </c>
    </row>
    <row r="3" customFormat="false" ht="15" hidden="false" customHeight="false" outlineLevel="0" collapsed="false">
      <c r="A3" s="8" t="s">
        <v>261</v>
      </c>
      <c r="B3" s="21" t="str">
        <f aca="false">IFERROR(INDEX('OCRMS Risk Map'!$B$4:$B$70,MATCH(B$5,'OCRMS Risk Map'!$A$4:$A$70,0)),"")</f>
        <v>L</v>
      </c>
      <c r="C3" s="21" t="str">
        <f aca="false">IFERROR(INDEX('OCRMS Risk Map'!$B$4:$B$70,MATCH(C$5,'OCRMS Risk Map'!$A$4:$A$70,0)),"")</f>
        <v>H</v>
      </c>
      <c r="D3" s="21" t="str">
        <f aca="false">IFERROR(INDEX('OCRMS Risk Map'!$B$4:$B$70,MATCH(D$5,'OCRMS Risk Map'!$A$4:$A$70,0)),"")</f>
        <v/>
      </c>
      <c r="E3" s="21" t="str">
        <f aca="false">IFERROR(INDEX('OCRMS Risk Map'!$B$4:$B$70,MATCH(E$5,'OCRMS Risk Map'!$A$4:$A$70,0)),"")</f>
        <v/>
      </c>
      <c r="F3" s="21" t="str">
        <f aca="false">IFERROR(INDEX('OCRMS Risk Map'!$B$4:$B$70,MATCH(F$5,'OCRMS Risk Map'!$A$4:$A$70,0)),"")</f>
        <v/>
      </c>
      <c r="G3" s="21" t="str">
        <f aca="false">IFERROR(INDEX('OCRMS Risk Map'!$B$4:$B$70,MATCH(G$5,'OCRMS Risk Map'!$A$4:$A$70,0)),"")</f>
        <v/>
      </c>
      <c r="H3" s="21" t="str">
        <f aca="false">IFERROR(INDEX('OCRMS Risk Map'!$B$4:$B$70,MATCH(H$5,'OCRMS Risk Map'!$A$4:$A$70,0)),"")</f>
        <v/>
      </c>
      <c r="I3" s="21" t="str">
        <f aca="false">IFERROR(INDEX('OCRMS Risk Map'!$B$4:$B$70,MATCH(I$5,'OCRMS Risk Map'!$A$4:$A$70,0)),"")</f>
        <v/>
      </c>
      <c r="J3" s="21" t="str">
        <f aca="false">IFERROR(INDEX('OCRMS Risk Map'!$B$4:$B$70,MATCH(J$5,'OCRMS Risk Map'!$A$4:$A$70,0)),"")</f>
        <v/>
      </c>
      <c r="K3" s="21" t="str">
        <f aca="false">IFERROR(INDEX('OCRMS Risk Map'!$B$4:$B$70,MATCH(K$5,'OCRMS Risk Map'!$A$4:$A$70,0)),"")</f>
        <v/>
      </c>
      <c r="L3" s="21" t="str">
        <f aca="false">IFERROR(INDEX('OCRMS Risk Map'!$B$4:$B$70,MATCH(L$5,'OCRMS Risk Map'!$A$4:$A$70,0)),"")</f>
        <v/>
      </c>
      <c r="M3" s="21" t="str">
        <f aca="false">IFERROR(INDEX('OCRMS Risk Map'!$B$4:$B$70,MATCH(M$5,'OCRMS Risk Map'!$A$4:$A$70,0)),"")</f>
        <v/>
      </c>
      <c r="N3" s="21" t="str">
        <f aca="false">IFERROR(INDEX('OCRMS Risk Map'!$B$4:$B$70,MATCH(N$5,'OCRMS Risk Map'!$A$4:$A$70,0)),"")</f>
        <v/>
      </c>
      <c r="O3" s="21" t="str">
        <f aca="false">IFERROR(INDEX('OCRMS Risk Map'!$B$4:$B$70,MATCH(O$5,'OCRMS Risk Map'!$A$4:$A$70,0)),"")</f>
        <v/>
      </c>
      <c r="P3" s="21" t="str">
        <f aca="false">IFERROR(INDEX('OCRMS Risk Map'!$B$4:$B$70,MATCH(P$5,'OCRMS Risk Map'!$A$4:$A$70,0)),"")</f>
        <v/>
      </c>
      <c r="Q3" s="21" t="str">
        <f aca="false">IFERROR(INDEX('OCRMS Risk Map'!$B$4:$B$70,MATCH(Q$5,'OCRMS Risk Map'!$A$4:$A$70,0)),"")</f>
        <v/>
      </c>
      <c r="R3" s="21" t="str">
        <f aca="false">IFERROR(INDEX('OCRMS Risk Map'!$B$4:$B$70,MATCH(R$5,'OCRMS Risk Map'!$A$4:$A$70,0)),"")</f>
        <v/>
      </c>
      <c r="S3" s="21" t="str">
        <f aca="false">IFERROR(INDEX('OCRMS Risk Map'!$B$4:$B$70,MATCH(S$5,'OCRMS Risk Map'!$A$4:$A$70,0)),"")</f>
        <v/>
      </c>
      <c r="T3" s="21" t="str">
        <f aca="false">IFERROR(INDEX('OCRMS Risk Map'!$B$4:$B$70,MATCH(T$5,'OCRMS Risk Map'!$A$4:$A$70,0)),"")</f>
        <v/>
      </c>
      <c r="U3" s="21" t="str">
        <f aca="false">IFERROR(INDEX('OCRMS Risk Map'!$B$4:$B$70,MATCH(U$5,'OCRMS Risk Map'!$A$4:$A$70,0)),"")</f>
        <v/>
      </c>
      <c r="V3" s="21" t="str">
        <f aca="false">IFERROR(INDEX('OCRMS Risk Map'!$B$4:$B$70,MATCH(V$5,'OCRMS Risk Map'!$A$4:$A$70,0)),"")</f>
        <v/>
      </c>
      <c r="W3" s="21" t="str">
        <f aca="false">IFERROR(INDEX('OCRMS Risk Map'!$B$4:$B$70,MATCH(W$5,'OCRMS Risk Map'!$A$4:$A$70,0)),"")</f>
        <v/>
      </c>
      <c r="X3" s="21" t="str">
        <f aca="false">IFERROR(INDEX('OCRMS Risk Map'!$B$4:$B$70,MATCH(X$5,'OCRMS Risk Map'!$A$4:$A$70,0)),"")</f>
        <v/>
      </c>
      <c r="Y3" s="21" t="str">
        <f aca="false">IFERROR(INDEX('OCRMS Risk Map'!$B$4:$B$70,MATCH(Y$5,'OCRMS Risk Map'!$A$4:$A$70,0)),"")</f>
        <v/>
      </c>
      <c r="Z3" s="21" t="str">
        <f aca="false">IFERROR(INDEX('OCRMS Risk Map'!$B$4:$B$70,MATCH(Z$5,'OCRMS Risk Map'!$A$4:$A$70,0)),"")</f>
        <v/>
      </c>
      <c r="AA3" s="21" t="str">
        <f aca="false">IFERROR(INDEX('OCRMS Risk Map'!$B$4:$B$70,MATCH(AA$5,'OCRMS Risk Map'!$A$4:$A$70,0)),"")</f>
        <v/>
      </c>
      <c r="AB3" s="21" t="str">
        <f aca="false">IFERROR(INDEX('OCRMS Risk Map'!$B$4:$B$70,MATCH(AB$5,'OCRMS Risk Map'!$A$4:$A$70,0)),"")</f>
        <v/>
      </c>
      <c r="AC3" s="21" t="str">
        <f aca="false">IFERROR(INDEX('OCRMS Risk Map'!$B$4:$B$70,MATCH(AC$5,'OCRMS Risk Map'!$A$4:$A$70,0)),"")</f>
        <v/>
      </c>
      <c r="AD3" s="21" t="str">
        <f aca="false">IFERROR(INDEX('OCRMS Risk Map'!$B$4:$B$70,MATCH(AD$5,'OCRMS Risk Map'!$A$4:$A$70,0)),"")</f>
        <v/>
      </c>
      <c r="AE3" s="21" t="str">
        <f aca="false">IFERROR(INDEX('OCRMS Risk Map'!$B$4:$B$70,MATCH(AE$5,'OCRMS Risk Map'!$A$4:$A$70,0)),"")</f>
        <v/>
      </c>
      <c r="AF3" s="21" t="str">
        <f aca="false">IFERROR(INDEX('OCRMS Risk Map'!$B$4:$B$70,MATCH(AF$5,'OCRMS Risk Map'!$A$4:$A$70,0)),"")</f>
        <v/>
      </c>
      <c r="AG3" s="21" t="str">
        <f aca="false">IFERROR(INDEX('OCRMS Risk Map'!$B$4:$B$70,MATCH(AG$5,'OCRMS Risk Map'!$A$4:$A$70,0)),"")</f>
        <v/>
      </c>
      <c r="AH3" s="21" t="str">
        <f aca="false">IFERROR(INDEX('OCRMS Risk Map'!$B$4:$B$70,MATCH(AH$5,'OCRMS Risk Map'!$A$4:$A$70,0)),"")</f>
        <v/>
      </c>
      <c r="AI3" s="21" t="str">
        <f aca="false">IFERROR(INDEX('OCRMS Risk Map'!$B$4:$B$70,MATCH(AI$5,'OCRMS Risk Map'!$A$4:$A$70,0)),"")</f>
        <v/>
      </c>
      <c r="AJ3" s="21" t="str">
        <f aca="false">IFERROR(INDEX('OCRMS Risk Map'!$B$4:$B$70,MATCH(AJ$5,'OCRMS Risk Map'!$A$4:$A$70,0)),"")</f>
        <v/>
      </c>
      <c r="AK3" s="21" t="str">
        <f aca="false">IFERROR(INDEX('OCRMS Risk Map'!$B$4:$B$70,MATCH(AK$5,'OCRMS Risk Map'!$A$4:$A$70,0)),"")</f>
        <v/>
      </c>
      <c r="AL3" s="21" t="str">
        <f aca="false">IFERROR(INDEX('OCRMS Risk Map'!$B$4:$B$70,MATCH(AL$5,'OCRMS Risk Map'!$A$4:$A$70,0)),"")</f>
        <v/>
      </c>
      <c r="AM3" s="21" t="str">
        <f aca="false">IFERROR(INDEX('OCRMS Risk Map'!$B$4:$B$70,MATCH(AM$5,'OCRMS Risk Map'!$A$4:$A$70,0)),"")</f>
        <v/>
      </c>
      <c r="AN3" s="21" t="str">
        <f aca="false">IFERROR(INDEX('OCRMS Risk Map'!$B$4:$B$70,MATCH(AN$5,'OCRMS Risk Map'!$A$4:$A$70,0)),"")</f>
        <v/>
      </c>
      <c r="AO3" s="21" t="str">
        <f aca="false">IFERROR(INDEX('OCRMS Risk Map'!$B$4:$B$70,MATCH(AO$5,'OCRMS Risk Map'!$A$4:$A$70,0)),"")</f>
        <v/>
      </c>
      <c r="AP3" s="21" t="str">
        <f aca="false">IFERROR(INDEX('OCRMS Risk Map'!$B$4:$B$70,MATCH(AP$5,'OCRMS Risk Map'!$A$4:$A$70,0)),"")</f>
        <v/>
      </c>
      <c r="AQ3" s="21" t="str">
        <f aca="false">IFERROR(INDEX('OCRMS Risk Map'!$B$4:$B$70,MATCH(AQ$5,'OCRMS Risk Map'!$A$4:$A$70,0)),"")</f>
        <v/>
      </c>
      <c r="AR3" s="21" t="str">
        <f aca="false">IFERROR(INDEX('OCRMS Risk Map'!$B$4:$B$70,MATCH(AR$5,'OCRMS Risk Map'!$A$4:$A$70,0)),"")</f>
        <v/>
      </c>
      <c r="AS3" s="21" t="str">
        <f aca="false">IFERROR(INDEX('OCRMS Risk Map'!$B$4:$B$70,MATCH(AS$5,'OCRMS Risk Map'!$A$4:$A$70,0)),"")</f>
        <v/>
      </c>
      <c r="AT3" s="21" t="str">
        <f aca="false">IFERROR(INDEX('OCRMS Risk Map'!$B$4:$B$70,MATCH(AT$5,'OCRMS Risk Map'!$A$4:$A$70,0)),"")</f>
        <v/>
      </c>
      <c r="AU3" s="21" t="str">
        <f aca="false">IFERROR(INDEX('OCRMS Risk Map'!$B$4:$B$70,MATCH(AU$5,'OCRMS Risk Map'!$A$4:$A$70,0)),"")</f>
        <v/>
      </c>
      <c r="AV3" s="21" t="str">
        <f aca="false">IFERROR(INDEX('OCRMS Risk Map'!$B$4:$B$70,MATCH(AV$5,'OCRMS Risk Map'!$A$4:$A$70,0)),"")</f>
        <v/>
      </c>
      <c r="AW3" s="21" t="str">
        <f aca="false">IFERROR(INDEX('OCRMS Risk Map'!$B$4:$B$70,MATCH(AW$5,'OCRMS Risk Map'!$A$4:$A$70,0)),"")</f>
        <v/>
      </c>
      <c r="AX3" s="21" t="str">
        <f aca="false">IFERROR(INDEX('OCRMS Risk Map'!$B$4:$B$70,MATCH(AX$5,'OCRMS Risk Map'!$A$4:$A$70,0)),"")</f>
        <v/>
      </c>
      <c r="AY3" s="21" t="str">
        <f aca="false">IFERROR(INDEX('OCRMS Risk Map'!$B$4:$B$70,MATCH(AY$5,'OCRMS Risk Map'!$A$4:$A$70,0)),"")</f>
        <v/>
      </c>
      <c r="AZ3" s="21" t="str">
        <f aca="false">IFERROR(INDEX('OCRMS Risk Map'!$B$4:$B$70,MATCH(AZ$5,'OCRMS Risk Map'!$A$4:$A$70,0)),"")</f>
        <v/>
      </c>
      <c r="BA3" s="21" t="str">
        <f aca="false">IFERROR(INDEX('OCRMS Risk Map'!$B$4:$B$70,MATCH(BA$5,'OCRMS Risk Map'!$A$4:$A$70,0)),"")</f>
        <v/>
      </c>
      <c r="BB3" s="21" t="str">
        <f aca="false">IFERROR(INDEX('OCRMS Risk Map'!$B$4:$B$70,MATCH(BB$5,'OCRMS Risk Map'!$A$4:$A$70,0)),"")</f>
        <v/>
      </c>
      <c r="BC3" s="21" t="str">
        <f aca="false">IFERROR(INDEX('OCRMS Risk Map'!$B$4:$B$70,MATCH(BC$5,'OCRMS Risk Map'!$A$4:$A$70,0)),"")</f>
        <v/>
      </c>
      <c r="BD3" s="21" t="str">
        <f aca="false">IFERROR(INDEX('OCRMS Risk Map'!$B$4:$B$70,MATCH(BD$5,'OCRMS Risk Map'!$A$4:$A$70,0)),"")</f>
        <v/>
      </c>
      <c r="BE3" s="21" t="str">
        <f aca="false">IFERROR(INDEX('OCRMS Risk Map'!$B$4:$B$70,MATCH(BE$5,'OCRMS Risk Map'!$A$4:$A$70,0)),"")</f>
        <v/>
      </c>
      <c r="BF3" s="21" t="str">
        <f aca="false">IFERROR(INDEX('OCRMS Risk Map'!$B$4:$B$70,MATCH(BF$5,'OCRMS Risk Map'!$A$4:$A$70,0)),"")</f>
        <v/>
      </c>
      <c r="BG3" s="21" t="str">
        <f aca="false">IFERROR(INDEX('OCRMS Risk Map'!$B$4:$B$70,MATCH(BG$5,'OCRMS Risk Map'!$A$4:$A$70,0)),"")</f>
        <v/>
      </c>
      <c r="BH3" s="21" t="str">
        <f aca="false">IFERROR(INDEX('OCRMS Risk Map'!$B$4:$B$70,MATCH(BH$5,'OCRMS Risk Map'!$A$4:$A$70,0)),"")</f>
        <v/>
      </c>
      <c r="BI3" s="21" t="str">
        <f aca="false">IFERROR(INDEX('OCRMS Risk Map'!$B$4:$B$70,MATCH(BI$5,'OCRMS Risk Map'!$A$4:$A$70,0)),"")</f>
        <v/>
      </c>
      <c r="BJ3" s="21" t="str">
        <f aca="false">IFERROR(INDEX('OCRMS Risk Map'!$B$4:$B$70,MATCH(BJ$5,'OCRMS Risk Map'!$A$4:$A$70,0)),"")</f>
        <v/>
      </c>
      <c r="BK3" s="21" t="str">
        <f aca="false">IFERROR(INDEX('OCRMS Risk Map'!$B$4:$B$70,MATCH(BK$5,'OCRMS Risk Map'!$A$4:$A$70,0)),"")</f>
        <v/>
      </c>
      <c r="BL3" s="21" t="str">
        <f aca="false">IFERROR(INDEX('OCRMS Risk Map'!$B$4:$B$70,MATCH(BL$5,'OCRMS Risk Map'!$A$4:$A$70,0)),"")</f>
        <v/>
      </c>
      <c r="BM3" s="21" t="str">
        <f aca="false">IFERROR(INDEX('OCRMS Risk Map'!$B$4:$B$70,MATCH(BM$5,'OCRMS Risk Map'!$A$4:$A$70,0)),"")</f>
        <v/>
      </c>
      <c r="BN3" s="21" t="str">
        <f aca="false">IFERROR(INDEX('OCRMS Risk Map'!$B$4:$B$70,MATCH(BN$5,'OCRMS Risk Map'!$A$4:$A$70,0)),"")</f>
        <v/>
      </c>
      <c r="BO3" s="21" t="str">
        <f aca="false">IFERROR(INDEX('OCRMS Risk Map'!$B$4:$B$70,MATCH(BO$5,'OCRMS Risk Map'!$A$4:$A$70,0)),"")</f>
        <v/>
      </c>
      <c r="BP3" s="21" t="str">
        <f aca="false">IFERROR(INDEX('OCRMS Risk Map'!$B$4:$B$70,MATCH(BP$5,'OCRMS Risk Map'!$A$4:$A$70,0)),"")</f>
        <v/>
      </c>
      <c r="BQ3" s="21" t="str">
        <f aca="false">IFERROR(INDEX('OCRMS Risk Map'!$B$4:$B$70,MATCH(BQ$5,'OCRMS Risk Map'!$A$4:$A$70,0)),"")</f>
        <v/>
      </c>
      <c r="BR3" s="21" t="str">
        <f aca="false">IFERROR(INDEX('OCRMS Risk Map'!$B$4:$B$70,MATCH(BR$5,'OCRMS Risk Map'!$A$4:$A$70,0)),"")</f>
        <v/>
      </c>
      <c r="BS3" s="21" t="str">
        <f aca="false">IFERROR(INDEX('OCRMS Risk Map'!$B$4:$B$70,MATCH(BS$5,'OCRMS Risk Map'!$A$4:$A$70,0)),"")</f>
        <v/>
      </c>
      <c r="BT3" s="21" t="str">
        <f aca="false">IFERROR(INDEX('OCRMS Risk Map'!$B$4:$B$70,MATCH(BT$5,'OCRMS Risk Map'!$A$4:$A$70,0)),"")</f>
        <v/>
      </c>
      <c r="BU3" s="21" t="str">
        <f aca="false">IFERROR(INDEX('OCRMS Risk Map'!$B$4:$B$70,MATCH(BU$5,'OCRMS Risk Map'!$A$4:$A$70,0)),"")</f>
        <v/>
      </c>
      <c r="BV3" s="21" t="str">
        <f aca="false">IFERROR(INDEX('OCRMS Risk Map'!$B$4:$B$70,MATCH(BV$5,'OCRMS Risk Map'!$A$4:$A$70,0)),"")</f>
        <v/>
      </c>
      <c r="BW3" s="21" t="str">
        <f aca="false">IFERROR(INDEX('OCRMS Risk Map'!$B$4:$B$70,MATCH(BW$5,'OCRMS Risk Map'!$A$4:$A$70,0)),"")</f>
        <v/>
      </c>
      <c r="BX3" s="21" t="str">
        <f aca="false">IFERROR(INDEX('OCRMS Risk Map'!$B$4:$B$70,MATCH(BX$5,'OCRMS Risk Map'!$A$4:$A$70,0)),"")</f>
        <v/>
      </c>
      <c r="BY3" s="21" t="str">
        <f aca="false">IFERROR(INDEX('OCRMS Risk Map'!$B$4:$B$70,MATCH(BY$5,'OCRMS Risk Map'!$A$4:$A$70,0)),"")</f>
        <v/>
      </c>
      <c r="BZ3" s="21" t="str">
        <f aca="false">IFERROR(INDEX('OCRMS Risk Map'!$B$4:$B$70,MATCH(BZ$5,'OCRMS Risk Map'!$A$4:$A$70,0)),"")</f>
        <v/>
      </c>
      <c r="CA3" s="21" t="str">
        <f aca="false">IFERROR(INDEX('OCRMS Risk Map'!$B$4:$B$70,MATCH(CA$5,'OCRMS Risk Map'!$A$4:$A$70,0)),"")</f>
        <v/>
      </c>
      <c r="CB3" s="21" t="str">
        <f aca="false">IFERROR(INDEX('OCRMS Risk Map'!$B$4:$B$70,MATCH(CB$5,'OCRMS Risk Map'!$A$4:$A$70,0)),"")</f>
        <v/>
      </c>
      <c r="CC3" s="21" t="str">
        <f aca="false">IFERROR(INDEX('OCRMS Risk Map'!$B$4:$B$70,MATCH(CC$5,'OCRMS Risk Map'!$A$4:$A$70,0)),"")</f>
        <v/>
      </c>
      <c r="CD3" s="21" t="str">
        <f aca="false">IFERROR(INDEX('OCRMS Risk Map'!$B$4:$B$70,MATCH(CD$5,'OCRMS Risk Map'!$A$4:$A$70,0)),"")</f>
        <v/>
      </c>
      <c r="CE3" s="21" t="str">
        <f aca="false">IFERROR(INDEX('OCRMS Risk Map'!$B$4:$B$70,MATCH(CE$5,'OCRMS Risk Map'!$A$4:$A$70,0)),"")</f>
        <v/>
      </c>
      <c r="CF3" s="21" t="str">
        <f aca="false">IFERROR(INDEX('OCRMS Risk Map'!$B$4:$B$70,MATCH(CF$5,'OCRMS Risk Map'!$A$4:$A$70,0)),"")</f>
        <v/>
      </c>
      <c r="CG3" s="21" t="str">
        <f aca="false">IFERROR(INDEX('OCRMS Risk Map'!$B$4:$B$70,MATCH(CG$5,'OCRMS Risk Map'!$A$4:$A$70,0)),"")</f>
        <v/>
      </c>
      <c r="CH3" s="21" t="str">
        <f aca="false">IFERROR(INDEX('OCRMS Risk Map'!$B$4:$B$70,MATCH(CH$5,'OCRMS Risk Map'!$A$4:$A$70,0)),"")</f>
        <v/>
      </c>
      <c r="CI3" s="21" t="str">
        <f aca="false">IFERROR(INDEX('OCRMS Risk Map'!$B$4:$B$70,MATCH(CI$5,'OCRMS Risk Map'!$A$4:$A$70,0)),"")</f>
        <v/>
      </c>
      <c r="CJ3" s="21" t="str">
        <f aca="false">IFERROR(INDEX('OCRMS Risk Map'!$B$4:$B$70,MATCH(CJ$5,'OCRMS Risk Map'!$A$4:$A$70,0)),"")</f>
        <v/>
      </c>
      <c r="CK3" s="21" t="str">
        <f aca="false">IFERROR(INDEX('OCRMS Risk Map'!$B$4:$B$70,MATCH(CK$5,'OCRMS Risk Map'!$A$4:$A$70,0)),"")</f>
        <v/>
      </c>
      <c r="CL3" s="21" t="str">
        <f aca="false">IFERROR(INDEX('OCRMS Risk Map'!$B$4:$B$70,MATCH(CL$5,'OCRMS Risk Map'!$A$4:$A$70,0)),"")</f>
        <v/>
      </c>
      <c r="CM3" s="21" t="str">
        <f aca="false">IFERROR(INDEX('OCRMS Risk Map'!$B$4:$B$70,MATCH(CM$5,'OCRMS Risk Map'!$A$4:$A$70,0)),"")</f>
        <v/>
      </c>
    </row>
    <row r="4" customFormat="false" ht="15" hidden="false" customHeight="false" outlineLevel="0" collapsed="false">
      <c r="A4" s="8" t="s">
        <v>262</v>
      </c>
      <c r="B4" s="21" t="n">
        <f aca="false">IFERROR(INDEX('OCRMS Risk Map'!$C$4:$C$70,MATCH(B$5,'OCRMS Risk Map'!$A$4:$A$70,0)),"")</f>
        <v>1</v>
      </c>
      <c r="C4" s="21" t="n">
        <f aca="false">IFERROR(INDEX('OCRMS Risk Map'!$C$4:$C$70,MATCH(C$5,'OCRMS Risk Map'!$A$4:$A$70,0)),"")</f>
        <v>3</v>
      </c>
      <c r="D4" s="21" t="str">
        <f aca="false">IFERROR(INDEX('OCRMS Risk Map'!$C$4:$C$70,MATCH(D$5,'OCRMS Risk Map'!$A$4:$A$70,0)),"")</f>
        <v/>
      </c>
      <c r="E4" s="21" t="str">
        <f aca="false">IFERROR(INDEX('OCRMS Risk Map'!$C$4:$C$70,MATCH(E$5,'OCRMS Risk Map'!$A$4:$A$70,0)),"")</f>
        <v/>
      </c>
      <c r="F4" s="21" t="str">
        <f aca="false">IFERROR(INDEX('OCRMS Risk Map'!$C$4:$C$70,MATCH(F$5,'OCRMS Risk Map'!$A$4:$A$70,0)),"")</f>
        <v/>
      </c>
      <c r="G4" s="21" t="str">
        <f aca="false">IFERROR(INDEX('OCRMS Risk Map'!$C$4:$C$70,MATCH(G$5,'OCRMS Risk Map'!$A$4:$A$70,0)),"")</f>
        <v/>
      </c>
      <c r="H4" s="21" t="str">
        <f aca="false">IFERROR(INDEX('OCRMS Risk Map'!$C$4:$C$70,MATCH(H$5,'OCRMS Risk Map'!$A$4:$A$70,0)),"")</f>
        <v/>
      </c>
      <c r="I4" s="21" t="str">
        <f aca="false">IFERROR(INDEX('OCRMS Risk Map'!$C$4:$C$70,MATCH(I$5,'OCRMS Risk Map'!$A$4:$A$70,0)),"")</f>
        <v/>
      </c>
      <c r="J4" s="21" t="str">
        <f aca="false">IFERROR(INDEX('OCRMS Risk Map'!$C$4:$C$70,MATCH(J$5,'OCRMS Risk Map'!$A$4:$A$70,0)),"")</f>
        <v/>
      </c>
      <c r="K4" s="21" t="str">
        <f aca="false">IFERROR(INDEX('OCRMS Risk Map'!$C$4:$C$70,MATCH(K$5,'OCRMS Risk Map'!$A$4:$A$70,0)),"")</f>
        <v/>
      </c>
      <c r="L4" s="21" t="str">
        <f aca="false">IFERROR(INDEX('OCRMS Risk Map'!$C$4:$C$70,MATCH(L$5,'OCRMS Risk Map'!$A$4:$A$70,0)),"")</f>
        <v/>
      </c>
      <c r="M4" s="21" t="str">
        <f aca="false">IFERROR(INDEX('OCRMS Risk Map'!$C$4:$C$70,MATCH(M$5,'OCRMS Risk Map'!$A$4:$A$70,0)),"")</f>
        <v/>
      </c>
      <c r="N4" s="21" t="str">
        <f aca="false">IFERROR(INDEX('OCRMS Risk Map'!$C$4:$C$70,MATCH(N$5,'OCRMS Risk Map'!$A$4:$A$70,0)),"")</f>
        <v/>
      </c>
      <c r="O4" s="21" t="str">
        <f aca="false">IFERROR(INDEX('OCRMS Risk Map'!$C$4:$C$70,MATCH(O$5,'OCRMS Risk Map'!$A$4:$A$70,0)),"")</f>
        <v/>
      </c>
      <c r="P4" s="21" t="str">
        <f aca="false">IFERROR(INDEX('OCRMS Risk Map'!$C$4:$C$70,MATCH(P$5,'OCRMS Risk Map'!$A$4:$A$70,0)),"")</f>
        <v/>
      </c>
      <c r="Q4" s="21" t="str">
        <f aca="false">IFERROR(INDEX('OCRMS Risk Map'!$C$4:$C$70,MATCH(Q$5,'OCRMS Risk Map'!$A$4:$A$70,0)),"")</f>
        <v/>
      </c>
      <c r="R4" s="21" t="str">
        <f aca="false">IFERROR(INDEX('OCRMS Risk Map'!$C$4:$C$70,MATCH(R$5,'OCRMS Risk Map'!$A$4:$A$70,0)),"")</f>
        <v/>
      </c>
      <c r="S4" s="21" t="str">
        <f aca="false">IFERROR(INDEX('OCRMS Risk Map'!$C$4:$C$70,MATCH(S$5,'OCRMS Risk Map'!$A$4:$A$70,0)),"")</f>
        <v/>
      </c>
      <c r="T4" s="21" t="str">
        <f aca="false">IFERROR(INDEX('OCRMS Risk Map'!$C$4:$C$70,MATCH(T$5,'OCRMS Risk Map'!$A$4:$A$70,0)),"")</f>
        <v/>
      </c>
      <c r="U4" s="21" t="str">
        <f aca="false">IFERROR(INDEX('OCRMS Risk Map'!$C$4:$C$70,MATCH(U$5,'OCRMS Risk Map'!$A$4:$A$70,0)),"")</f>
        <v/>
      </c>
      <c r="V4" s="21" t="str">
        <f aca="false">IFERROR(INDEX('OCRMS Risk Map'!$C$4:$C$70,MATCH(V$5,'OCRMS Risk Map'!$A$4:$A$70,0)),"")</f>
        <v/>
      </c>
      <c r="W4" s="21" t="str">
        <f aca="false">IFERROR(INDEX('OCRMS Risk Map'!$C$4:$C$70,MATCH(W$5,'OCRMS Risk Map'!$A$4:$A$70,0)),"")</f>
        <v/>
      </c>
      <c r="X4" s="21" t="str">
        <f aca="false">IFERROR(INDEX('OCRMS Risk Map'!$C$4:$C$70,MATCH(X$5,'OCRMS Risk Map'!$A$4:$A$70,0)),"")</f>
        <v/>
      </c>
      <c r="Y4" s="21" t="str">
        <f aca="false">IFERROR(INDEX('OCRMS Risk Map'!$C$4:$C$70,MATCH(Y$5,'OCRMS Risk Map'!$A$4:$A$70,0)),"")</f>
        <v/>
      </c>
      <c r="Z4" s="21" t="str">
        <f aca="false">IFERROR(INDEX('OCRMS Risk Map'!$C$4:$C$70,MATCH(Z$5,'OCRMS Risk Map'!$A$4:$A$70,0)),"")</f>
        <v/>
      </c>
      <c r="AA4" s="21" t="str">
        <f aca="false">IFERROR(INDEX('OCRMS Risk Map'!$C$4:$C$70,MATCH(AA$5,'OCRMS Risk Map'!$A$4:$A$70,0)),"")</f>
        <v/>
      </c>
      <c r="AB4" s="21" t="str">
        <f aca="false">IFERROR(INDEX('OCRMS Risk Map'!$C$4:$C$70,MATCH(AB$5,'OCRMS Risk Map'!$A$4:$A$70,0)),"")</f>
        <v/>
      </c>
      <c r="AC4" s="21" t="str">
        <f aca="false">IFERROR(INDEX('OCRMS Risk Map'!$C$4:$C$70,MATCH(AC$5,'OCRMS Risk Map'!$A$4:$A$70,0)),"")</f>
        <v/>
      </c>
      <c r="AD4" s="21" t="str">
        <f aca="false">IFERROR(INDEX('OCRMS Risk Map'!$C$4:$C$70,MATCH(AD$5,'OCRMS Risk Map'!$A$4:$A$70,0)),"")</f>
        <v/>
      </c>
      <c r="AE4" s="21" t="str">
        <f aca="false">IFERROR(INDEX('OCRMS Risk Map'!$C$4:$C$70,MATCH(AE$5,'OCRMS Risk Map'!$A$4:$A$70,0)),"")</f>
        <v/>
      </c>
      <c r="AF4" s="21" t="str">
        <f aca="false">IFERROR(INDEX('OCRMS Risk Map'!$C$4:$C$70,MATCH(AF$5,'OCRMS Risk Map'!$A$4:$A$70,0)),"")</f>
        <v/>
      </c>
      <c r="AG4" s="21" t="str">
        <f aca="false">IFERROR(INDEX('OCRMS Risk Map'!$C$4:$C$70,MATCH(AG$5,'OCRMS Risk Map'!$A$4:$A$70,0)),"")</f>
        <v/>
      </c>
      <c r="AH4" s="21" t="str">
        <f aca="false">IFERROR(INDEX('OCRMS Risk Map'!$C$4:$C$70,MATCH(AH$5,'OCRMS Risk Map'!$A$4:$A$70,0)),"")</f>
        <v/>
      </c>
      <c r="AI4" s="21" t="str">
        <f aca="false">IFERROR(INDEX('OCRMS Risk Map'!$C$4:$C$70,MATCH(AI$5,'OCRMS Risk Map'!$A$4:$A$70,0)),"")</f>
        <v/>
      </c>
      <c r="AJ4" s="21" t="str">
        <f aca="false">IFERROR(INDEX('OCRMS Risk Map'!$C$4:$C$70,MATCH(AJ$5,'OCRMS Risk Map'!$A$4:$A$70,0)),"")</f>
        <v/>
      </c>
      <c r="AK4" s="21" t="str">
        <f aca="false">IFERROR(INDEX('OCRMS Risk Map'!$C$4:$C$70,MATCH(AK$5,'OCRMS Risk Map'!$A$4:$A$70,0)),"")</f>
        <v/>
      </c>
      <c r="AL4" s="21" t="str">
        <f aca="false">IFERROR(INDEX('OCRMS Risk Map'!$C$4:$C$70,MATCH(AL$5,'OCRMS Risk Map'!$A$4:$A$70,0)),"")</f>
        <v/>
      </c>
      <c r="AM4" s="21" t="str">
        <f aca="false">IFERROR(INDEX('OCRMS Risk Map'!$C$4:$C$70,MATCH(AM$5,'OCRMS Risk Map'!$A$4:$A$70,0)),"")</f>
        <v/>
      </c>
      <c r="AN4" s="21" t="str">
        <f aca="false">IFERROR(INDEX('OCRMS Risk Map'!$C$4:$C$70,MATCH(AN$5,'OCRMS Risk Map'!$A$4:$A$70,0)),"")</f>
        <v/>
      </c>
      <c r="AO4" s="21" t="str">
        <f aca="false">IFERROR(INDEX('OCRMS Risk Map'!$C$4:$C$70,MATCH(AO$5,'OCRMS Risk Map'!$A$4:$A$70,0)),"")</f>
        <v/>
      </c>
      <c r="AP4" s="21" t="str">
        <f aca="false">IFERROR(INDEX('OCRMS Risk Map'!$C$4:$C$70,MATCH(AP$5,'OCRMS Risk Map'!$A$4:$A$70,0)),"")</f>
        <v/>
      </c>
      <c r="AQ4" s="21" t="str">
        <f aca="false">IFERROR(INDEX('OCRMS Risk Map'!$C$4:$C$70,MATCH(AQ$5,'OCRMS Risk Map'!$A$4:$A$70,0)),"")</f>
        <v/>
      </c>
      <c r="AR4" s="21" t="str">
        <f aca="false">IFERROR(INDEX('OCRMS Risk Map'!$C$4:$C$70,MATCH(AR$5,'OCRMS Risk Map'!$A$4:$A$70,0)),"")</f>
        <v/>
      </c>
      <c r="AS4" s="21" t="str">
        <f aca="false">IFERROR(INDEX('OCRMS Risk Map'!$C$4:$C$70,MATCH(AS$5,'OCRMS Risk Map'!$A$4:$A$70,0)),"")</f>
        <v/>
      </c>
      <c r="AT4" s="21" t="str">
        <f aca="false">IFERROR(INDEX('OCRMS Risk Map'!$C$4:$C$70,MATCH(AT$5,'OCRMS Risk Map'!$A$4:$A$70,0)),"")</f>
        <v/>
      </c>
      <c r="AU4" s="21" t="str">
        <f aca="false">IFERROR(INDEX('OCRMS Risk Map'!$C$4:$C$70,MATCH(AU$5,'OCRMS Risk Map'!$A$4:$A$70,0)),"")</f>
        <v/>
      </c>
      <c r="AV4" s="21" t="str">
        <f aca="false">IFERROR(INDEX('OCRMS Risk Map'!$C$4:$C$70,MATCH(AV$5,'OCRMS Risk Map'!$A$4:$A$70,0)),"")</f>
        <v/>
      </c>
      <c r="AW4" s="21" t="str">
        <f aca="false">IFERROR(INDEX('OCRMS Risk Map'!$C$4:$C$70,MATCH(AW$5,'OCRMS Risk Map'!$A$4:$A$70,0)),"")</f>
        <v/>
      </c>
      <c r="AX4" s="21" t="str">
        <f aca="false">IFERROR(INDEX('OCRMS Risk Map'!$C$4:$C$70,MATCH(AX$5,'OCRMS Risk Map'!$A$4:$A$70,0)),"")</f>
        <v/>
      </c>
      <c r="AY4" s="21" t="str">
        <f aca="false">IFERROR(INDEX('OCRMS Risk Map'!$C$4:$C$70,MATCH(AY$5,'OCRMS Risk Map'!$A$4:$A$70,0)),"")</f>
        <v/>
      </c>
      <c r="AZ4" s="21" t="str">
        <f aca="false">IFERROR(INDEX('OCRMS Risk Map'!$C$4:$C$70,MATCH(AZ$5,'OCRMS Risk Map'!$A$4:$A$70,0)),"")</f>
        <v/>
      </c>
      <c r="BA4" s="21" t="str">
        <f aca="false">IFERROR(INDEX('OCRMS Risk Map'!$C$4:$C$70,MATCH(BA$5,'OCRMS Risk Map'!$A$4:$A$70,0)),"")</f>
        <v/>
      </c>
      <c r="BB4" s="21" t="str">
        <f aca="false">IFERROR(INDEX('OCRMS Risk Map'!$C$4:$C$70,MATCH(BB$5,'OCRMS Risk Map'!$A$4:$A$70,0)),"")</f>
        <v/>
      </c>
      <c r="BC4" s="21" t="str">
        <f aca="false">IFERROR(INDEX('OCRMS Risk Map'!$C$4:$C$70,MATCH(BC$5,'OCRMS Risk Map'!$A$4:$A$70,0)),"")</f>
        <v/>
      </c>
      <c r="BD4" s="21" t="str">
        <f aca="false">IFERROR(INDEX('OCRMS Risk Map'!$C$4:$C$70,MATCH(BD$5,'OCRMS Risk Map'!$A$4:$A$70,0)),"")</f>
        <v/>
      </c>
      <c r="BE4" s="21" t="str">
        <f aca="false">IFERROR(INDEX('OCRMS Risk Map'!$C$4:$C$70,MATCH(BE$5,'OCRMS Risk Map'!$A$4:$A$70,0)),"")</f>
        <v/>
      </c>
      <c r="BF4" s="21" t="str">
        <f aca="false">IFERROR(INDEX('OCRMS Risk Map'!$C$4:$C$70,MATCH(BF$5,'OCRMS Risk Map'!$A$4:$A$70,0)),"")</f>
        <v/>
      </c>
      <c r="BG4" s="21" t="str">
        <f aca="false">IFERROR(INDEX('OCRMS Risk Map'!$C$4:$C$70,MATCH(BG$5,'OCRMS Risk Map'!$A$4:$A$70,0)),"")</f>
        <v/>
      </c>
      <c r="BH4" s="21" t="str">
        <f aca="false">IFERROR(INDEX('OCRMS Risk Map'!$C$4:$C$70,MATCH(BH$5,'OCRMS Risk Map'!$A$4:$A$70,0)),"")</f>
        <v/>
      </c>
      <c r="BI4" s="21" t="str">
        <f aca="false">IFERROR(INDEX('OCRMS Risk Map'!$C$4:$C$70,MATCH(BI$5,'OCRMS Risk Map'!$A$4:$A$70,0)),"")</f>
        <v/>
      </c>
      <c r="BJ4" s="21" t="str">
        <f aca="false">IFERROR(INDEX('OCRMS Risk Map'!$C$4:$C$70,MATCH(BJ$5,'OCRMS Risk Map'!$A$4:$A$70,0)),"")</f>
        <v/>
      </c>
      <c r="BK4" s="21" t="str">
        <f aca="false">IFERROR(INDEX('OCRMS Risk Map'!$C$4:$C$70,MATCH(BK$5,'OCRMS Risk Map'!$A$4:$A$70,0)),"")</f>
        <v/>
      </c>
      <c r="BL4" s="21" t="str">
        <f aca="false">IFERROR(INDEX('OCRMS Risk Map'!$C$4:$C$70,MATCH(BL$5,'OCRMS Risk Map'!$A$4:$A$70,0)),"")</f>
        <v/>
      </c>
      <c r="BM4" s="21" t="str">
        <f aca="false">IFERROR(INDEX('OCRMS Risk Map'!$C$4:$C$70,MATCH(BM$5,'OCRMS Risk Map'!$A$4:$A$70,0)),"")</f>
        <v/>
      </c>
      <c r="BN4" s="21" t="str">
        <f aca="false">IFERROR(INDEX('OCRMS Risk Map'!$C$4:$C$70,MATCH(BN$5,'OCRMS Risk Map'!$A$4:$A$70,0)),"")</f>
        <v/>
      </c>
      <c r="BO4" s="21" t="str">
        <f aca="false">IFERROR(INDEX('OCRMS Risk Map'!$C$4:$C$70,MATCH(BO$5,'OCRMS Risk Map'!$A$4:$A$70,0)),"")</f>
        <v/>
      </c>
      <c r="BP4" s="21" t="str">
        <f aca="false">IFERROR(INDEX('OCRMS Risk Map'!$C$4:$C$70,MATCH(BP$5,'OCRMS Risk Map'!$A$4:$A$70,0)),"")</f>
        <v/>
      </c>
      <c r="BQ4" s="21" t="str">
        <f aca="false">IFERROR(INDEX('OCRMS Risk Map'!$C$4:$C$70,MATCH(BQ$5,'OCRMS Risk Map'!$A$4:$A$70,0)),"")</f>
        <v/>
      </c>
      <c r="BR4" s="21" t="str">
        <f aca="false">IFERROR(INDEX('OCRMS Risk Map'!$C$4:$C$70,MATCH(BR$5,'OCRMS Risk Map'!$A$4:$A$70,0)),"")</f>
        <v/>
      </c>
      <c r="BS4" s="21" t="str">
        <f aca="false">IFERROR(INDEX('OCRMS Risk Map'!$C$4:$C$70,MATCH(BS$5,'OCRMS Risk Map'!$A$4:$A$70,0)),"")</f>
        <v/>
      </c>
      <c r="BT4" s="21" t="str">
        <f aca="false">IFERROR(INDEX('OCRMS Risk Map'!$C$4:$C$70,MATCH(BT$5,'OCRMS Risk Map'!$A$4:$A$70,0)),"")</f>
        <v/>
      </c>
      <c r="BU4" s="21" t="str">
        <f aca="false">IFERROR(INDEX('OCRMS Risk Map'!$C$4:$C$70,MATCH(BU$5,'OCRMS Risk Map'!$A$4:$A$70,0)),"")</f>
        <v/>
      </c>
      <c r="BV4" s="21" t="str">
        <f aca="false">IFERROR(INDEX('OCRMS Risk Map'!$C$4:$C$70,MATCH(BV$5,'OCRMS Risk Map'!$A$4:$A$70,0)),"")</f>
        <v/>
      </c>
      <c r="BW4" s="21" t="str">
        <f aca="false">IFERROR(INDEX('OCRMS Risk Map'!$C$4:$C$70,MATCH(BW$5,'OCRMS Risk Map'!$A$4:$A$70,0)),"")</f>
        <v/>
      </c>
      <c r="BX4" s="21" t="str">
        <f aca="false">IFERROR(INDEX('OCRMS Risk Map'!$C$4:$C$70,MATCH(BX$5,'OCRMS Risk Map'!$A$4:$A$70,0)),"")</f>
        <v/>
      </c>
      <c r="BY4" s="21" t="str">
        <f aca="false">IFERROR(INDEX('OCRMS Risk Map'!$C$4:$C$70,MATCH(BY$5,'OCRMS Risk Map'!$A$4:$A$70,0)),"")</f>
        <v/>
      </c>
      <c r="BZ4" s="21" t="str">
        <f aca="false">IFERROR(INDEX('OCRMS Risk Map'!$C$4:$C$70,MATCH(BZ$5,'OCRMS Risk Map'!$A$4:$A$70,0)),"")</f>
        <v/>
      </c>
      <c r="CA4" s="21" t="str">
        <f aca="false">IFERROR(INDEX('OCRMS Risk Map'!$C$4:$C$70,MATCH(CA$5,'OCRMS Risk Map'!$A$4:$A$70,0)),"")</f>
        <v/>
      </c>
      <c r="CB4" s="21" t="str">
        <f aca="false">IFERROR(INDEX('OCRMS Risk Map'!$C$4:$C$70,MATCH(CB$5,'OCRMS Risk Map'!$A$4:$A$70,0)),"")</f>
        <v/>
      </c>
      <c r="CC4" s="21" t="str">
        <f aca="false">IFERROR(INDEX('OCRMS Risk Map'!$C$4:$C$70,MATCH(CC$5,'OCRMS Risk Map'!$A$4:$A$70,0)),"")</f>
        <v/>
      </c>
      <c r="CD4" s="21" t="str">
        <f aca="false">IFERROR(INDEX('OCRMS Risk Map'!$C$4:$C$70,MATCH(CD$5,'OCRMS Risk Map'!$A$4:$A$70,0)),"")</f>
        <v/>
      </c>
      <c r="CE4" s="21" t="str">
        <f aca="false">IFERROR(INDEX('OCRMS Risk Map'!$C$4:$C$70,MATCH(CE$5,'OCRMS Risk Map'!$A$4:$A$70,0)),"")</f>
        <v/>
      </c>
      <c r="CF4" s="21" t="str">
        <f aca="false">IFERROR(INDEX('OCRMS Risk Map'!$C$4:$C$70,MATCH(CF$5,'OCRMS Risk Map'!$A$4:$A$70,0)),"")</f>
        <v/>
      </c>
      <c r="CG4" s="21" t="str">
        <f aca="false">IFERROR(INDEX('OCRMS Risk Map'!$C$4:$C$70,MATCH(CG$5,'OCRMS Risk Map'!$A$4:$A$70,0)),"")</f>
        <v/>
      </c>
      <c r="CH4" s="21" t="str">
        <f aca="false">IFERROR(INDEX('OCRMS Risk Map'!$C$4:$C$70,MATCH(CH$5,'OCRMS Risk Map'!$A$4:$A$70,0)),"")</f>
        <v/>
      </c>
      <c r="CI4" s="21" t="str">
        <f aca="false">IFERROR(INDEX('OCRMS Risk Map'!$C$4:$C$70,MATCH(CI$5,'OCRMS Risk Map'!$A$4:$A$70,0)),"")</f>
        <v/>
      </c>
      <c r="CJ4" s="21" t="str">
        <f aca="false">IFERROR(INDEX('OCRMS Risk Map'!$C$4:$C$70,MATCH(CJ$5,'OCRMS Risk Map'!$A$4:$A$70,0)),"")</f>
        <v/>
      </c>
      <c r="CK4" s="21" t="str">
        <f aca="false">IFERROR(INDEX('OCRMS Risk Map'!$C$4:$C$70,MATCH(CK$5,'OCRMS Risk Map'!$A$4:$A$70,0)),"")</f>
        <v/>
      </c>
      <c r="CL4" s="21" t="str">
        <f aca="false">IFERROR(INDEX('OCRMS Risk Map'!$C$4:$C$70,MATCH(CL$5,'OCRMS Risk Map'!$A$4:$A$70,0)),"")</f>
        <v/>
      </c>
      <c r="CM4" s="21" t="str">
        <f aca="false">IFERROR(INDEX('OCRMS Risk Map'!$C$4:$C$70,MATCH(CM$5,'OCRMS Risk Map'!$A$4:$A$70,0)),"")</f>
        <v/>
      </c>
    </row>
    <row r="5" customFormat="false" ht="15" hidden="false" customHeight="false" outlineLevel="0" collapsed="false">
      <c r="A5" s="22" t="s">
        <v>263</v>
      </c>
      <c r="B5" s="23" t="s">
        <v>62</v>
      </c>
      <c r="C5" s="23" t="s">
        <v>102</v>
      </c>
      <c r="D5" s="23" t="s">
        <v>264</v>
      </c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  <c r="CK5" s="24"/>
      <c r="CL5" s="24"/>
      <c r="CM5" s="24"/>
      <c r="CO5" s="18" t="s">
        <v>265</v>
      </c>
    </row>
    <row r="6" customFormat="false" ht="15" hidden="false" customHeight="false" outlineLevel="0" collapsed="false">
      <c r="A6" s="25" t="s">
        <v>266</v>
      </c>
      <c r="B6" s="25" t="n">
        <v>0</v>
      </c>
      <c r="C6" s="25" t="n">
        <v>1</v>
      </c>
      <c r="D6" s="25" t="n">
        <v>1</v>
      </c>
      <c r="CO6" s="21" t="n">
        <f aca="false">IF($A6="","",IF(SUMPRODUCT(($B6:$CM6&gt;0)*($B$3:$CM$3="H"))&gt;0,1,0))</f>
        <v>1</v>
      </c>
    </row>
    <row r="7" customFormat="false" ht="15" hidden="false" customHeight="false" outlineLevel="0" collapsed="false">
      <c r="CO7" s="21" t="str">
        <f aca="false">IF($A7="","",IF(SUMPRODUCT(($B7:$CM7&gt;0)*($B$3:$CM$3="H"))&gt;0,1,0))</f>
        <v/>
      </c>
    </row>
    <row r="8" customFormat="false" ht="15" hidden="false" customHeight="false" outlineLevel="0" collapsed="false">
      <c r="CO8" s="21" t="str">
        <f aca="false">IF($A8="","",IF(SUMPRODUCT(($B8:$CM8&gt;0)*($B$3:$CM$3="H"))&gt;0,1,0))</f>
        <v/>
      </c>
    </row>
    <row r="9" customFormat="false" ht="15" hidden="false" customHeight="false" outlineLevel="0" collapsed="false">
      <c r="CO9" s="21" t="str">
        <f aca="false">IF($A9="","",IF(SUMPRODUCT(($B9:$CM9&gt;0)*($B$3:$CM$3="H"))&gt;0,1,0))</f>
        <v/>
      </c>
    </row>
    <row r="10" customFormat="false" ht="15" hidden="false" customHeight="false" outlineLevel="0" collapsed="false">
      <c r="CO10" s="21" t="str">
        <f aca="false">IF($A10="","",IF(SUMPRODUCT(($B10:$CM10&gt;0)*($B$3:$CM$3="H"))&gt;0,1,0))</f>
        <v/>
      </c>
    </row>
    <row r="11" customFormat="false" ht="15" hidden="false" customHeight="false" outlineLevel="0" collapsed="false">
      <c r="CO11" s="21" t="str">
        <f aca="false">IF($A11="","",IF(SUMPRODUCT(($B11:$CM11&gt;0)*($B$3:$CM$3="H"))&gt;0,1,0))</f>
        <v/>
      </c>
    </row>
    <row r="12" customFormat="false" ht="15" hidden="false" customHeight="false" outlineLevel="0" collapsed="false">
      <c r="CO12" s="21" t="str">
        <f aca="false">IF($A12="","",IF(SUMPRODUCT(($B12:$CM12&gt;0)*($B$3:$CM$3="H"))&gt;0,1,0))</f>
        <v/>
      </c>
    </row>
    <row r="13" customFormat="false" ht="15" hidden="false" customHeight="false" outlineLevel="0" collapsed="false">
      <c r="CO13" s="21" t="str">
        <f aca="false">IF($A13="","",IF(SUMPRODUCT(($B13:$CM13&gt;0)*($B$3:$CM$3="H"))&gt;0,1,0))</f>
        <v/>
      </c>
    </row>
    <row r="14" customFormat="false" ht="15" hidden="false" customHeight="false" outlineLevel="0" collapsed="false">
      <c r="CO14" s="21" t="str">
        <f aca="false">IF($A14="","",IF(SUMPRODUCT(($B14:$CM14&gt;0)*($B$3:$CM$3="H"))&gt;0,1,0))</f>
        <v/>
      </c>
    </row>
    <row r="15" customFormat="false" ht="15" hidden="false" customHeight="false" outlineLevel="0" collapsed="false">
      <c r="CO15" s="21" t="str">
        <f aca="false">IF($A15="","",IF(SUMPRODUCT(($B15:$CM15&gt;0)*($B$3:$CM$3="H"))&gt;0,1,0))</f>
        <v/>
      </c>
    </row>
    <row r="16" customFormat="false" ht="15" hidden="false" customHeight="false" outlineLevel="0" collapsed="false">
      <c r="CO16" s="21" t="str">
        <f aca="false">IF($A16="","",IF(SUMPRODUCT(($B16:$CM16&gt;0)*($B$3:$CM$3="H"))&gt;0,1,0))</f>
        <v/>
      </c>
    </row>
    <row r="17" customFormat="false" ht="15" hidden="false" customHeight="false" outlineLevel="0" collapsed="false">
      <c r="CO17" s="21" t="str">
        <f aca="false">IF($A17="","",IF(SUMPRODUCT(($B17:$CM17&gt;0)*($B$3:$CM$3="H"))&gt;0,1,0))</f>
        <v/>
      </c>
    </row>
    <row r="18" customFormat="false" ht="15" hidden="false" customHeight="false" outlineLevel="0" collapsed="false">
      <c r="CO18" s="21" t="str">
        <f aca="false">IF($A18="","",IF(SUMPRODUCT(($B18:$CM18&gt;0)*($B$3:$CM$3="H"))&gt;0,1,0))</f>
        <v/>
      </c>
    </row>
    <row r="19" customFormat="false" ht="15" hidden="false" customHeight="false" outlineLevel="0" collapsed="false">
      <c r="CO19" s="21" t="str">
        <f aca="false">IF($A19="","",IF(SUMPRODUCT(($B19:$CM19&gt;0)*($B$3:$CM$3="H"))&gt;0,1,0))</f>
        <v/>
      </c>
    </row>
    <row r="20" customFormat="false" ht="15" hidden="false" customHeight="false" outlineLevel="0" collapsed="false">
      <c r="CO20" s="21" t="str">
        <f aca="false">IF($A20="","",IF(SUMPRODUCT(($B20:$CM20&gt;0)*($B$3:$CM$3="H"))&gt;0,1,0))</f>
        <v/>
      </c>
    </row>
    <row r="21" customFormat="false" ht="15" hidden="false" customHeight="false" outlineLevel="0" collapsed="false">
      <c r="CO21" s="21" t="str">
        <f aca="false">IF($A21="","",IF(SUMPRODUCT(($B21:$CM21&gt;0)*($B$3:$CM$3="H"))&gt;0,1,0))</f>
        <v/>
      </c>
    </row>
    <row r="22" customFormat="false" ht="15" hidden="false" customHeight="false" outlineLevel="0" collapsed="false">
      <c r="CO22" s="21" t="str">
        <f aca="false">IF($A22="","",IF(SUMPRODUCT(($B22:$CM22&gt;0)*($B$3:$CM$3="H"))&gt;0,1,0))</f>
        <v/>
      </c>
    </row>
    <row r="23" customFormat="false" ht="15" hidden="false" customHeight="false" outlineLevel="0" collapsed="false">
      <c r="CO23" s="21" t="str">
        <f aca="false">IF($A23="","",IF(SUMPRODUCT(($B23:$CM23&gt;0)*($B$3:$CM$3="H"))&gt;0,1,0))</f>
        <v/>
      </c>
    </row>
    <row r="24" customFormat="false" ht="15" hidden="false" customHeight="false" outlineLevel="0" collapsed="false">
      <c r="CO24" s="21" t="str">
        <f aca="false">IF($A24="","",IF(SUMPRODUCT(($B24:$CM24&gt;0)*($B$3:$CM$3="H"))&gt;0,1,0))</f>
        <v/>
      </c>
    </row>
    <row r="25" customFormat="false" ht="15" hidden="false" customHeight="false" outlineLevel="0" collapsed="false">
      <c r="CO25" s="21" t="str">
        <f aca="false">IF($A25="","",IF(SUMPRODUCT(($B25:$CM25&gt;0)*($B$3:$CM$3="H"))&gt;0,1,0))</f>
        <v/>
      </c>
    </row>
    <row r="26" customFormat="false" ht="15" hidden="false" customHeight="false" outlineLevel="0" collapsed="false">
      <c r="CO26" s="21" t="str">
        <f aca="false">IF($A26="","",IF(SUMPRODUCT(($B26:$CM26&gt;0)*($B$3:$CM$3="H"))&gt;0,1,0))</f>
        <v/>
      </c>
    </row>
    <row r="27" customFormat="false" ht="15" hidden="false" customHeight="false" outlineLevel="0" collapsed="false">
      <c r="CO27" s="21" t="str">
        <f aca="false">IF($A27="","",IF(SUMPRODUCT(($B27:$CM27&gt;0)*($B$3:$CM$3="H"))&gt;0,1,0))</f>
        <v/>
      </c>
    </row>
    <row r="28" customFormat="false" ht="15" hidden="false" customHeight="false" outlineLevel="0" collapsed="false">
      <c r="CO28" s="21" t="str">
        <f aca="false">IF($A28="","",IF(SUMPRODUCT(($B28:$CM28&gt;0)*($B$3:$CM$3="H"))&gt;0,1,0))</f>
        <v/>
      </c>
    </row>
    <row r="29" customFormat="false" ht="15" hidden="false" customHeight="false" outlineLevel="0" collapsed="false">
      <c r="CO29" s="21" t="str">
        <f aca="false">IF($A29="","",IF(SUMPRODUCT(($B29:$CM29&gt;0)*($B$3:$CM$3="H"))&gt;0,1,0))</f>
        <v/>
      </c>
    </row>
    <row r="30" customFormat="false" ht="15" hidden="false" customHeight="false" outlineLevel="0" collapsed="false">
      <c r="CO30" s="21" t="str">
        <f aca="false">IF($A30="","",IF(SUMPRODUCT(($B30:$CM30&gt;0)*($B$3:$CM$3="H"))&gt;0,1,0))</f>
        <v/>
      </c>
    </row>
    <row r="31" customFormat="false" ht="15" hidden="false" customHeight="false" outlineLevel="0" collapsed="false">
      <c r="CO31" s="21" t="str">
        <f aca="false">IF($A31="","",IF(SUMPRODUCT(($B31:$CM31&gt;0)*($B$3:$CM$3="H"))&gt;0,1,0))</f>
        <v/>
      </c>
    </row>
    <row r="32" customFormat="false" ht="15" hidden="false" customHeight="false" outlineLevel="0" collapsed="false">
      <c r="CO32" s="21" t="str">
        <f aca="false">IF($A32="","",IF(SUMPRODUCT(($B32:$CM32&gt;0)*($B$3:$CM$3="H"))&gt;0,1,0))</f>
        <v/>
      </c>
    </row>
    <row r="33" customFormat="false" ht="15" hidden="false" customHeight="false" outlineLevel="0" collapsed="false">
      <c r="CO33" s="21" t="str">
        <f aca="false">IF($A33="","",IF(SUMPRODUCT(($B33:$CM33&gt;0)*($B$3:$CM$3="H"))&gt;0,1,0))</f>
        <v/>
      </c>
    </row>
    <row r="34" customFormat="false" ht="15" hidden="false" customHeight="false" outlineLevel="0" collapsed="false">
      <c r="CO34" s="21" t="str">
        <f aca="false">IF($A34="","",IF(SUMPRODUCT(($B34:$CM34&gt;0)*($B$3:$CM$3="H"))&gt;0,1,0))</f>
        <v/>
      </c>
    </row>
    <row r="35" customFormat="false" ht="15" hidden="false" customHeight="false" outlineLevel="0" collapsed="false">
      <c r="CO35" s="21" t="str">
        <f aca="false">IF($A35="","",IF(SUMPRODUCT(($B35:$CM35&gt;0)*($B$3:$CM$3="H"))&gt;0,1,0))</f>
        <v/>
      </c>
    </row>
    <row r="36" customFormat="false" ht="15" hidden="false" customHeight="false" outlineLevel="0" collapsed="false">
      <c r="CO36" s="21" t="str">
        <f aca="false">IF($A36="","",IF(SUMPRODUCT(($B36:$CM36&gt;0)*($B$3:$CM$3="H"))&gt;0,1,0))</f>
        <v/>
      </c>
    </row>
    <row r="37" customFormat="false" ht="15" hidden="false" customHeight="false" outlineLevel="0" collapsed="false">
      <c r="CO37" s="21" t="str">
        <f aca="false">IF($A37="","",IF(SUMPRODUCT(($B37:$CM37&gt;0)*($B$3:$CM$3="H"))&gt;0,1,0))</f>
        <v/>
      </c>
    </row>
    <row r="38" customFormat="false" ht="15" hidden="false" customHeight="false" outlineLevel="0" collapsed="false">
      <c r="CO38" s="21" t="str">
        <f aca="false">IF($A38="","",IF(SUMPRODUCT(($B38:$CM38&gt;0)*($B$3:$CM$3="H"))&gt;0,1,0))</f>
        <v/>
      </c>
    </row>
    <row r="39" customFormat="false" ht="15" hidden="false" customHeight="false" outlineLevel="0" collapsed="false">
      <c r="CO39" s="21" t="str">
        <f aca="false">IF($A39="","",IF(SUMPRODUCT(($B39:$CM39&gt;0)*($B$3:$CM$3="H"))&gt;0,1,0))</f>
        <v/>
      </c>
    </row>
    <row r="40" customFormat="false" ht="15" hidden="false" customHeight="false" outlineLevel="0" collapsed="false">
      <c r="CO40" s="21" t="str">
        <f aca="false">IF($A40="","",IF(SUMPRODUCT(($B40:$CM40&gt;0)*($B$3:$CM$3="H"))&gt;0,1,0))</f>
        <v/>
      </c>
    </row>
    <row r="41" customFormat="false" ht="15" hidden="false" customHeight="false" outlineLevel="0" collapsed="false">
      <c r="CO41" s="21" t="str">
        <f aca="false">IF($A41="","",IF(SUMPRODUCT(($B41:$CM41&gt;0)*($B$3:$CM$3="H"))&gt;0,1,0))</f>
        <v/>
      </c>
    </row>
    <row r="42" customFormat="false" ht="15" hidden="false" customHeight="false" outlineLevel="0" collapsed="false">
      <c r="CO42" s="21" t="str">
        <f aca="false">IF($A42="","",IF(SUMPRODUCT(($B42:$CM42&gt;0)*($B$3:$CM$3="H"))&gt;0,1,0))</f>
        <v/>
      </c>
    </row>
    <row r="43" customFormat="false" ht="15" hidden="false" customHeight="false" outlineLevel="0" collapsed="false">
      <c r="CO43" s="21" t="str">
        <f aca="false">IF($A43="","",IF(SUMPRODUCT(($B43:$CM43&gt;0)*($B$3:$CM$3="H"))&gt;0,1,0))</f>
        <v/>
      </c>
    </row>
    <row r="44" customFormat="false" ht="15" hidden="false" customHeight="false" outlineLevel="0" collapsed="false">
      <c r="CO44" s="21" t="str">
        <f aca="false">IF($A44="","",IF(SUMPRODUCT(($B44:$CM44&gt;0)*($B$3:$CM$3="H"))&gt;0,1,0))</f>
        <v/>
      </c>
    </row>
    <row r="45" customFormat="false" ht="15" hidden="false" customHeight="false" outlineLevel="0" collapsed="false">
      <c r="CO45" s="21" t="str">
        <f aca="false">IF($A45="","",IF(SUMPRODUCT(($B45:$CM45&gt;0)*($B$3:$CM$3="H"))&gt;0,1,0))</f>
        <v/>
      </c>
    </row>
    <row r="46" customFormat="false" ht="15" hidden="false" customHeight="false" outlineLevel="0" collapsed="false">
      <c r="CO46" s="21" t="str">
        <f aca="false">IF($A46="","",IF(SUMPRODUCT(($B46:$CM46&gt;0)*($B$3:$CM$3="H"))&gt;0,1,0))</f>
        <v/>
      </c>
    </row>
    <row r="47" customFormat="false" ht="15" hidden="false" customHeight="false" outlineLevel="0" collapsed="false">
      <c r="CO47" s="21" t="str">
        <f aca="false">IF($A47="","",IF(SUMPRODUCT(($B47:$CM47&gt;0)*($B$3:$CM$3="H"))&gt;0,1,0))</f>
        <v/>
      </c>
    </row>
    <row r="48" customFormat="false" ht="15" hidden="false" customHeight="false" outlineLevel="0" collapsed="false">
      <c r="CO48" s="21" t="str">
        <f aca="false">IF($A48="","",IF(SUMPRODUCT(($B48:$CM48&gt;0)*($B$3:$CM$3="H"))&gt;0,1,0))</f>
        <v/>
      </c>
    </row>
    <row r="49" customFormat="false" ht="15" hidden="false" customHeight="false" outlineLevel="0" collapsed="false">
      <c r="CO49" s="21" t="str">
        <f aca="false">IF($A49="","",IF(SUMPRODUCT(($B49:$CM49&gt;0)*($B$3:$CM$3="H"))&gt;0,1,0))</f>
        <v/>
      </c>
    </row>
    <row r="50" customFormat="false" ht="15" hidden="false" customHeight="false" outlineLevel="0" collapsed="false">
      <c r="CO50" s="21" t="str">
        <f aca="false">IF($A50="","",IF(SUMPRODUCT(($B50:$CM50&gt;0)*($B$3:$CM$3="H"))&gt;0,1,0))</f>
        <v/>
      </c>
    </row>
    <row r="51" customFormat="false" ht="15" hidden="false" customHeight="false" outlineLevel="0" collapsed="false">
      <c r="CO51" s="21" t="str">
        <f aca="false">IF($A51="","",IF(SUMPRODUCT(($B51:$CM51&gt;0)*($B$3:$CM$3="H"))&gt;0,1,0))</f>
        <v/>
      </c>
    </row>
    <row r="52" customFormat="false" ht="15" hidden="false" customHeight="false" outlineLevel="0" collapsed="false">
      <c r="CO52" s="21" t="str">
        <f aca="false">IF($A52="","",IF(SUMPRODUCT(($B52:$CM52&gt;0)*($B$3:$CM$3="H"))&gt;0,1,0))</f>
        <v/>
      </c>
    </row>
    <row r="53" customFormat="false" ht="15" hidden="false" customHeight="false" outlineLevel="0" collapsed="false">
      <c r="CO53" s="21" t="str">
        <f aca="false">IF($A53="","",IF(SUMPRODUCT(($B53:$CM53&gt;0)*($B$3:$CM$3="H"))&gt;0,1,0))</f>
        <v/>
      </c>
    </row>
    <row r="54" customFormat="false" ht="15" hidden="false" customHeight="false" outlineLevel="0" collapsed="false">
      <c r="CO54" s="21" t="str">
        <f aca="false">IF($A54="","",IF(SUMPRODUCT(($B54:$CM54&gt;0)*($B$3:$CM$3="H"))&gt;0,1,0))</f>
        <v/>
      </c>
    </row>
    <row r="55" customFormat="false" ht="15" hidden="false" customHeight="false" outlineLevel="0" collapsed="false">
      <c r="CO55" s="21" t="str">
        <f aca="false">IF($A55="","",IF(SUMPRODUCT(($B55:$CM55&gt;0)*($B$3:$CM$3="H"))&gt;0,1,0))</f>
        <v/>
      </c>
    </row>
    <row r="56" customFormat="false" ht="15" hidden="false" customHeight="false" outlineLevel="0" collapsed="false">
      <c r="CO56" s="21" t="str">
        <f aca="false">IF($A56="","",IF(SUMPRODUCT(($B56:$CM56&gt;0)*($B$3:$CM$3="H"))&gt;0,1,0))</f>
        <v/>
      </c>
    </row>
    <row r="57" customFormat="false" ht="15" hidden="false" customHeight="false" outlineLevel="0" collapsed="false">
      <c r="CO57" s="21" t="str">
        <f aca="false">IF($A57="","",IF(SUMPRODUCT(($B57:$CM57&gt;0)*($B$3:$CM$3="H"))&gt;0,1,0))</f>
        <v/>
      </c>
    </row>
    <row r="58" customFormat="false" ht="15" hidden="false" customHeight="false" outlineLevel="0" collapsed="false">
      <c r="CO58" s="21" t="str">
        <f aca="false">IF($A58="","",IF(SUMPRODUCT(($B58:$CM58&gt;0)*($B$3:$CM$3="H"))&gt;0,1,0))</f>
        <v/>
      </c>
    </row>
    <row r="59" customFormat="false" ht="15" hidden="false" customHeight="false" outlineLevel="0" collapsed="false">
      <c r="CO59" s="21" t="str">
        <f aca="false">IF($A59="","",IF(SUMPRODUCT(($B59:$CM59&gt;0)*($B$3:$CM$3="H"))&gt;0,1,0))</f>
        <v/>
      </c>
    </row>
    <row r="60" customFormat="false" ht="15" hidden="false" customHeight="false" outlineLevel="0" collapsed="false">
      <c r="CO60" s="21" t="str">
        <f aca="false">IF($A60="","",IF(SUMPRODUCT(($B60:$CM60&gt;0)*($B$3:$CM$3="H"))&gt;0,1,0))</f>
        <v/>
      </c>
    </row>
    <row r="61" customFormat="false" ht="15" hidden="false" customHeight="false" outlineLevel="0" collapsed="false">
      <c r="CO61" s="21" t="str">
        <f aca="false">IF($A61="","",IF(SUMPRODUCT(($B61:$CM61&gt;0)*($B$3:$CM$3="H"))&gt;0,1,0))</f>
        <v/>
      </c>
    </row>
    <row r="62" customFormat="false" ht="15" hidden="false" customHeight="false" outlineLevel="0" collapsed="false">
      <c r="CO62" s="21" t="str">
        <f aca="false">IF($A62="","",IF(SUMPRODUCT(($B62:$CM62&gt;0)*($B$3:$CM$3="H"))&gt;0,1,0))</f>
        <v/>
      </c>
    </row>
    <row r="63" customFormat="false" ht="15" hidden="false" customHeight="false" outlineLevel="0" collapsed="false">
      <c r="CO63" s="21" t="str">
        <f aca="false">IF($A63="","",IF(SUMPRODUCT(($B63:$CM63&gt;0)*($B$3:$CM$3="H"))&gt;0,1,0))</f>
        <v/>
      </c>
    </row>
    <row r="64" customFormat="false" ht="15" hidden="false" customHeight="false" outlineLevel="0" collapsed="false">
      <c r="CO64" s="21" t="str">
        <f aca="false">IF($A64="","",IF(SUMPRODUCT(($B64:$CM64&gt;0)*($B$3:$CM$3="H"))&gt;0,1,0))</f>
        <v/>
      </c>
    </row>
    <row r="65" customFormat="false" ht="15" hidden="false" customHeight="false" outlineLevel="0" collapsed="false">
      <c r="CO65" s="21" t="str">
        <f aca="false">IF($A65="","",IF(SUMPRODUCT(($B65:$CM65&gt;0)*($B$3:$CM$3="H"))&gt;0,1,0))</f>
        <v/>
      </c>
    </row>
    <row r="66" customFormat="false" ht="15" hidden="false" customHeight="false" outlineLevel="0" collapsed="false">
      <c r="CO66" s="21" t="str">
        <f aca="false">IF($A66="","",IF(SUMPRODUCT(($B66:$CM66&gt;0)*($B$3:$CM$3="H"))&gt;0,1,0))</f>
        <v/>
      </c>
    </row>
    <row r="67" customFormat="false" ht="15" hidden="false" customHeight="false" outlineLevel="0" collapsed="false">
      <c r="CO67" s="21" t="str">
        <f aca="false">IF($A67="","",IF(SUMPRODUCT(($B67:$CM67&gt;0)*($B$3:$CM$3="H"))&gt;0,1,0))</f>
        <v/>
      </c>
    </row>
    <row r="68" customFormat="false" ht="15" hidden="false" customHeight="false" outlineLevel="0" collapsed="false">
      <c r="CO68" s="21" t="str">
        <f aca="false">IF($A68="","",IF(SUMPRODUCT(($B68:$CM68&gt;0)*($B$3:$CM$3="H"))&gt;0,1,0))</f>
        <v/>
      </c>
    </row>
    <row r="69" customFormat="false" ht="15" hidden="false" customHeight="false" outlineLevel="0" collapsed="false">
      <c r="CO69" s="21" t="str">
        <f aca="false">IF($A69="","",IF(SUMPRODUCT(($B69:$CM69&gt;0)*($B$3:$CM$3="H"))&gt;0,1,0))</f>
        <v/>
      </c>
    </row>
    <row r="70" customFormat="false" ht="15" hidden="false" customHeight="false" outlineLevel="0" collapsed="false">
      <c r="CO70" s="21" t="str">
        <f aca="false">IF($A70="","",IF(SUMPRODUCT(($B70:$CM70&gt;0)*($B$3:$CM$3="H"))&gt;0,1,0))</f>
        <v/>
      </c>
    </row>
    <row r="71" customFormat="false" ht="15" hidden="false" customHeight="false" outlineLevel="0" collapsed="false">
      <c r="CO71" s="21" t="str">
        <f aca="false">IF($A71="","",IF(SUMPRODUCT(($B71:$CM71&gt;0)*($B$3:$CM$3="H"))&gt;0,1,0))</f>
        <v/>
      </c>
    </row>
    <row r="72" customFormat="false" ht="15" hidden="false" customHeight="false" outlineLevel="0" collapsed="false">
      <c r="CO72" s="21" t="str">
        <f aca="false">IF($A72="","",IF(SUMPRODUCT(($B72:$CM72&gt;0)*($B$3:$CM$3="H"))&gt;0,1,0))</f>
        <v/>
      </c>
    </row>
    <row r="73" customFormat="false" ht="15" hidden="false" customHeight="false" outlineLevel="0" collapsed="false">
      <c r="CO73" s="21" t="str">
        <f aca="false">IF($A73="","",IF(SUMPRODUCT(($B73:$CM73&gt;0)*($B$3:$CM$3="H"))&gt;0,1,0))</f>
        <v/>
      </c>
    </row>
    <row r="74" customFormat="false" ht="15" hidden="false" customHeight="false" outlineLevel="0" collapsed="false">
      <c r="CO74" s="21" t="str">
        <f aca="false">IF($A74="","",IF(SUMPRODUCT(($B74:$CM74&gt;0)*($B$3:$CM$3="H"))&gt;0,1,0))</f>
        <v/>
      </c>
    </row>
    <row r="75" customFormat="false" ht="15" hidden="false" customHeight="false" outlineLevel="0" collapsed="false">
      <c r="CO75" s="21" t="str">
        <f aca="false">IF($A75="","",IF(SUMPRODUCT(($B75:$CM75&gt;0)*($B$3:$CM$3="H"))&gt;0,1,0))</f>
        <v/>
      </c>
    </row>
    <row r="76" customFormat="false" ht="15" hidden="false" customHeight="false" outlineLevel="0" collapsed="false">
      <c r="CO76" s="21" t="str">
        <f aca="false">IF($A76="","",IF(SUMPRODUCT(($B76:$CM76&gt;0)*($B$3:$CM$3="H"))&gt;0,1,0))</f>
        <v/>
      </c>
    </row>
    <row r="77" customFormat="false" ht="15" hidden="false" customHeight="false" outlineLevel="0" collapsed="false">
      <c r="CO77" s="21" t="str">
        <f aca="false">IF($A77="","",IF(SUMPRODUCT(($B77:$CM77&gt;0)*($B$3:$CM$3="H"))&gt;0,1,0))</f>
        <v/>
      </c>
    </row>
    <row r="78" customFormat="false" ht="15" hidden="false" customHeight="false" outlineLevel="0" collapsed="false">
      <c r="CO78" s="21" t="str">
        <f aca="false">IF($A78="","",IF(SUMPRODUCT(($B78:$CM78&gt;0)*($B$3:$CM$3="H"))&gt;0,1,0))</f>
        <v/>
      </c>
    </row>
    <row r="79" customFormat="false" ht="15" hidden="false" customHeight="false" outlineLevel="0" collapsed="false">
      <c r="CO79" s="21" t="str">
        <f aca="false">IF($A79="","",IF(SUMPRODUCT(($B79:$CM79&gt;0)*($B$3:$CM$3="H"))&gt;0,1,0))</f>
        <v/>
      </c>
    </row>
    <row r="80" customFormat="false" ht="15" hidden="false" customHeight="false" outlineLevel="0" collapsed="false">
      <c r="CO80" s="21" t="str">
        <f aca="false">IF($A80="","",IF(SUMPRODUCT(($B80:$CM80&gt;0)*($B$3:$CM$3="H"))&gt;0,1,0))</f>
        <v/>
      </c>
    </row>
    <row r="81" customFormat="false" ht="15" hidden="false" customHeight="false" outlineLevel="0" collapsed="false">
      <c r="CO81" s="21" t="str">
        <f aca="false">IF($A81="","",IF(SUMPRODUCT(($B81:$CM81&gt;0)*($B$3:$CM$3="H"))&gt;0,1,0))</f>
        <v/>
      </c>
    </row>
    <row r="82" customFormat="false" ht="15" hidden="false" customHeight="false" outlineLevel="0" collapsed="false">
      <c r="CO82" s="21" t="str">
        <f aca="false">IF($A82="","",IF(SUMPRODUCT(($B82:$CM82&gt;0)*($B$3:$CM$3="H"))&gt;0,1,0))</f>
        <v/>
      </c>
    </row>
    <row r="83" customFormat="false" ht="15" hidden="false" customHeight="false" outlineLevel="0" collapsed="false">
      <c r="CO83" s="21" t="str">
        <f aca="false">IF($A83="","",IF(SUMPRODUCT(($B83:$CM83&gt;0)*($B$3:$CM$3="H"))&gt;0,1,0))</f>
        <v/>
      </c>
    </row>
    <row r="84" customFormat="false" ht="15" hidden="false" customHeight="false" outlineLevel="0" collapsed="false">
      <c r="CO84" s="21" t="str">
        <f aca="false">IF($A84="","",IF(SUMPRODUCT(($B84:$CM84&gt;0)*($B$3:$CM$3="H"))&gt;0,1,0))</f>
        <v/>
      </c>
    </row>
    <row r="85" customFormat="false" ht="15" hidden="false" customHeight="false" outlineLevel="0" collapsed="false">
      <c r="CO85" s="21" t="str">
        <f aca="false">IF($A85="","",IF(SUMPRODUCT(($B85:$CM85&gt;0)*($B$3:$CM$3="H"))&gt;0,1,0))</f>
        <v/>
      </c>
    </row>
    <row r="86" customFormat="false" ht="15" hidden="false" customHeight="false" outlineLevel="0" collapsed="false">
      <c r="CO86" s="21" t="str">
        <f aca="false">IF($A86="","",IF(SUMPRODUCT(($B86:$CM86&gt;0)*($B$3:$CM$3="H"))&gt;0,1,0))</f>
        <v/>
      </c>
    </row>
    <row r="87" customFormat="false" ht="15" hidden="false" customHeight="false" outlineLevel="0" collapsed="false">
      <c r="CO87" s="21" t="str">
        <f aca="false">IF($A87="","",IF(SUMPRODUCT(($B87:$CM87&gt;0)*($B$3:$CM$3="H"))&gt;0,1,0))</f>
        <v/>
      </c>
    </row>
    <row r="88" customFormat="false" ht="15" hidden="false" customHeight="false" outlineLevel="0" collapsed="false">
      <c r="CO88" s="21" t="str">
        <f aca="false">IF($A88="","",IF(SUMPRODUCT(($B88:$CM88&gt;0)*($B$3:$CM$3="H"))&gt;0,1,0))</f>
        <v/>
      </c>
    </row>
    <row r="89" customFormat="false" ht="15" hidden="false" customHeight="false" outlineLevel="0" collapsed="false">
      <c r="CO89" s="21" t="str">
        <f aca="false">IF($A89="","",IF(SUMPRODUCT(($B89:$CM89&gt;0)*($B$3:$CM$3="H"))&gt;0,1,0))</f>
        <v/>
      </c>
    </row>
    <row r="90" customFormat="false" ht="15" hidden="false" customHeight="false" outlineLevel="0" collapsed="false">
      <c r="CO90" s="21" t="str">
        <f aca="false">IF($A90="","",IF(SUMPRODUCT(($B90:$CM90&gt;0)*($B$3:$CM$3="H"))&gt;0,1,0))</f>
        <v/>
      </c>
    </row>
    <row r="91" customFormat="false" ht="15" hidden="false" customHeight="false" outlineLevel="0" collapsed="false">
      <c r="CO91" s="21" t="str">
        <f aca="false">IF($A91="","",IF(SUMPRODUCT(($B91:$CM91&gt;0)*($B$3:$CM$3="H"))&gt;0,1,0))</f>
        <v/>
      </c>
    </row>
    <row r="92" customFormat="false" ht="15" hidden="false" customHeight="false" outlineLevel="0" collapsed="false">
      <c r="CO92" s="21" t="str">
        <f aca="false">IF($A92="","",IF(SUMPRODUCT(($B92:$CM92&gt;0)*($B$3:$CM$3="H"))&gt;0,1,0))</f>
        <v/>
      </c>
    </row>
    <row r="93" customFormat="false" ht="15" hidden="false" customHeight="false" outlineLevel="0" collapsed="false">
      <c r="CO93" s="21" t="str">
        <f aca="false">IF($A93="","",IF(SUMPRODUCT(($B93:$CM93&gt;0)*($B$3:$CM$3="H"))&gt;0,1,0))</f>
        <v/>
      </c>
    </row>
    <row r="94" customFormat="false" ht="15" hidden="false" customHeight="false" outlineLevel="0" collapsed="false">
      <c r="CO94" s="21" t="str">
        <f aca="false">IF($A94="","",IF(SUMPRODUCT(($B94:$CM94&gt;0)*($B$3:$CM$3="H"))&gt;0,1,0))</f>
        <v/>
      </c>
    </row>
    <row r="95" customFormat="false" ht="15" hidden="false" customHeight="false" outlineLevel="0" collapsed="false">
      <c r="CO95" s="21" t="str">
        <f aca="false">IF($A95="","",IF(SUMPRODUCT(($B95:$CM95&gt;0)*($B$3:$CM$3="H"))&gt;0,1,0))</f>
        <v/>
      </c>
    </row>
    <row r="96" customFormat="false" ht="15" hidden="false" customHeight="false" outlineLevel="0" collapsed="false">
      <c r="CO96" s="21" t="str">
        <f aca="false">IF($A96="","",IF(SUMPRODUCT(($B96:$CM96&gt;0)*($B$3:$CM$3="H"))&gt;0,1,0))</f>
        <v/>
      </c>
    </row>
    <row r="97" customFormat="false" ht="15" hidden="false" customHeight="false" outlineLevel="0" collapsed="false">
      <c r="CO97" s="21" t="str">
        <f aca="false">IF($A97="","",IF(SUMPRODUCT(($B97:$CM97&gt;0)*($B$3:$CM$3="H"))&gt;0,1,0))</f>
        <v/>
      </c>
    </row>
    <row r="98" customFormat="false" ht="15" hidden="false" customHeight="false" outlineLevel="0" collapsed="false">
      <c r="CO98" s="21" t="str">
        <f aca="false">IF($A98="","",IF(SUMPRODUCT(($B98:$CM98&gt;0)*($B$3:$CM$3="H"))&gt;0,1,0))</f>
        <v/>
      </c>
    </row>
    <row r="99" customFormat="false" ht="15" hidden="false" customHeight="false" outlineLevel="0" collapsed="false">
      <c r="CO99" s="21" t="str">
        <f aca="false">IF($A99="","",IF(SUMPRODUCT(($B99:$CM99&gt;0)*($B$3:$CM$3="H"))&gt;0,1,0))</f>
        <v/>
      </c>
    </row>
    <row r="100" customFormat="false" ht="15" hidden="false" customHeight="false" outlineLevel="0" collapsed="false">
      <c r="CO100" s="21" t="str">
        <f aca="false">IF($A100="","",IF(SUMPRODUCT(($B100:$CM100&gt;0)*($B$3:$CM$3="H"))&gt;0,1,0))</f>
        <v/>
      </c>
    </row>
    <row r="101" customFormat="false" ht="15" hidden="false" customHeight="false" outlineLevel="0" collapsed="false">
      <c r="CO101" s="21" t="str">
        <f aca="false">IF($A101="","",IF(SUMPRODUCT(($B101:$CM101&gt;0)*($B$3:$CM$3="H"))&gt;0,1,0))</f>
        <v/>
      </c>
    </row>
    <row r="102" customFormat="false" ht="15" hidden="false" customHeight="false" outlineLevel="0" collapsed="false">
      <c r="CO102" s="21" t="str">
        <f aca="false">IF($A102="","",IF(SUMPRODUCT(($B102:$CM102&gt;0)*($B$3:$CM$3="H"))&gt;0,1,0))</f>
        <v/>
      </c>
    </row>
    <row r="103" customFormat="false" ht="15" hidden="false" customHeight="false" outlineLevel="0" collapsed="false">
      <c r="CO103" s="21" t="str">
        <f aca="false">IF($A103="","",IF(SUMPRODUCT(($B103:$CM103&gt;0)*($B$3:$CM$3="H"))&gt;0,1,0))</f>
        <v/>
      </c>
    </row>
    <row r="104" customFormat="false" ht="15" hidden="false" customHeight="false" outlineLevel="0" collapsed="false">
      <c r="CO104" s="21" t="str">
        <f aca="false">IF($A104="","",IF(SUMPRODUCT(($B104:$CM104&gt;0)*($B$3:$CM$3="H"))&gt;0,1,0))</f>
        <v/>
      </c>
    </row>
    <row r="105" customFormat="false" ht="15" hidden="false" customHeight="false" outlineLevel="0" collapsed="false">
      <c r="CO105" s="21" t="str">
        <f aca="false">IF($A105="","",IF(SUMPRODUCT(($B105:$CM105&gt;0)*($B$3:$CM$3="H"))&gt;0,1,0))</f>
        <v/>
      </c>
    </row>
    <row r="106" customFormat="false" ht="15" hidden="false" customHeight="false" outlineLevel="0" collapsed="false">
      <c r="CO106" s="21" t="str">
        <f aca="false">IF($A106="","",IF(SUMPRODUCT(($B106:$CM106&gt;0)*($B$3:$CM$3="H"))&gt;0,1,0))</f>
        <v/>
      </c>
    </row>
    <row r="109" customFormat="false" ht="15" hidden="false" customHeight="false" outlineLevel="0" collapsed="false">
      <c r="A109" s="8" t="s">
        <v>267</v>
      </c>
      <c r="B109" s="21" t="n">
        <f aca="false">IF(B4="",0,IF(COUNTIF(B7:B106,"&gt;0")&gt;0,1,0))</f>
        <v>0</v>
      </c>
      <c r="C109" s="21" t="n">
        <f aca="false">IF(C4="",0,IF(COUNTIF(C7:C106,"&gt;0")&gt;0,1,0))</f>
        <v>0</v>
      </c>
      <c r="D109" s="21" t="n">
        <f aca="false">IF(D4="",0,IF(COUNTIF(D7:D106,"&gt;0")&gt;0,1,0))</f>
        <v>0</v>
      </c>
      <c r="E109" s="21" t="n">
        <f aca="false">IF(E4="",0,IF(COUNTIF(E7:E106,"&gt;0")&gt;0,1,0))</f>
        <v>0</v>
      </c>
      <c r="F109" s="21" t="n">
        <f aca="false">IF(F4="",0,IF(COUNTIF(F7:F106,"&gt;0")&gt;0,1,0))</f>
        <v>0</v>
      </c>
      <c r="G109" s="21" t="n">
        <f aca="false">IF(G4="",0,IF(COUNTIF(G7:G106,"&gt;0")&gt;0,1,0))</f>
        <v>0</v>
      </c>
      <c r="H109" s="21" t="n">
        <f aca="false">IF(H4="",0,IF(COUNTIF(H7:H106,"&gt;0")&gt;0,1,0))</f>
        <v>0</v>
      </c>
      <c r="I109" s="21" t="n">
        <f aca="false">IF(I4="",0,IF(COUNTIF(I7:I106,"&gt;0")&gt;0,1,0))</f>
        <v>0</v>
      </c>
      <c r="J109" s="21" t="n">
        <f aca="false">IF(J4="",0,IF(COUNTIF(J7:J106,"&gt;0")&gt;0,1,0))</f>
        <v>0</v>
      </c>
      <c r="K109" s="21" t="n">
        <f aca="false">IF(K4="",0,IF(COUNTIF(K7:K106,"&gt;0")&gt;0,1,0))</f>
        <v>0</v>
      </c>
      <c r="L109" s="21" t="n">
        <f aca="false">IF(L4="",0,IF(COUNTIF(L7:L106,"&gt;0")&gt;0,1,0))</f>
        <v>0</v>
      </c>
      <c r="M109" s="21" t="n">
        <f aca="false">IF(M4="",0,IF(COUNTIF(M7:M106,"&gt;0")&gt;0,1,0))</f>
        <v>0</v>
      </c>
      <c r="N109" s="21" t="n">
        <f aca="false">IF(N4="",0,IF(COUNTIF(N7:N106,"&gt;0")&gt;0,1,0))</f>
        <v>0</v>
      </c>
      <c r="O109" s="21" t="n">
        <f aca="false">IF(O4="",0,IF(COUNTIF(O7:O106,"&gt;0")&gt;0,1,0))</f>
        <v>0</v>
      </c>
      <c r="P109" s="21" t="n">
        <f aca="false">IF(P4="",0,IF(COUNTIF(P7:P106,"&gt;0")&gt;0,1,0))</f>
        <v>0</v>
      </c>
      <c r="Q109" s="21" t="n">
        <f aca="false">IF(Q4="",0,IF(COUNTIF(Q7:Q106,"&gt;0")&gt;0,1,0))</f>
        <v>0</v>
      </c>
      <c r="R109" s="21" t="n">
        <f aca="false">IF(R4="",0,IF(COUNTIF(R7:R106,"&gt;0")&gt;0,1,0))</f>
        <v>0</v>
      </c>
      <c r="S109" s="21" t="n">
        <f aca="false">IF(S4="",0,IF(COUNTIF(S7:S106,"&gt;0")&gt;0,1,0))</f>
        <v>0</v>
      </c>
      <c r="T109" s="21" t="n">
        <f aca="false">IF(T4="",0,IF(COUNTIF(T7:T106,"&gt;0")&gt;0,1,0))</f>
        <v>0</v>
      </c>
      <c r="U109" s="21" t="n">
        <f aca="false">IF(U4="",0,IF(COUNTIF(U7:U106,"&gt;0")&gt;0,1,0))</f>
        <v>0</v>
      </c>
      <c r="V109" s="21" t="n">
        <f aca="false">IF(V4="",0,IF(COUNTIF(V7:V106,"&gt;0")&gt;0,1,0))</f>
        <v>0</v>
      </c>
      <c r="W109" s="21" t="n">
        <f aca="false">IF(W4="",0,IF(COUNTIF(W7:W106,"&gt;0")&gt;0,1,0))</f>
        <v>0</v>
      </c>
      <c r="X109" s="21" t="n">
        <f aca="false">IF(X4="",0,IF(COUNTIF(X7:X106,"&gt;0")&gt;0,1,0))</f>
        <v>0</v>
      </c>
      <c r="Y109" s="21" t="n">
        <f aca="false">IF(Y4="",0,IF(COUNTIF(Y7:Y106,"&gt;0")&gt;0,1,0))</f>
        <v>0</v>
      </c>
      <c r="Z109" s="21" t="n">
        <f aca="false">IF(Z4="",0,IF(COUNTIF(Z7:Z106,"&gt;0")&gt;0,1,0))</f>
        <v>0</v>
      </c>
      <c r="AA109" s="21" t="n">
        <f aca="false">IF(AA4="",0,IF(COUNTIF(AA7:AA106,"&gt;0")&gt;0,1,0))</f>
        <v>0</v>
      </c>
      <c r="AB109" s="21" t="n">
        <f aca="false">IF(AB4="",0,IF(COUNTIF(AB7:AB106,"&gt;0")&gt;0,1,0))</f>
        <v>0</v>
      </c>
      <c r="AC109" s="21" t="n">
        <f aca="false">IF(AC4="",0,IF(COUNTIF(AC7:AC106,"&gt;0")&gt;0,1,0))</f>
        <v>0</v>
      </c>
      <c r="AD109" s="21" t="n">
        <f aca="false">IF(AD4="",0,IF(COUNTIF(AD7:AD106,"&gt;0")&gt;0,1,0))</f>
        <v>0</v>
      </c>
      <c r="AE109" s="21" t="n">
        <f aca="false">IF(AE4="",0,IF(COUNTIF(AE7:AE106,"&gt;0")&gt;0,1,0))</f>
        <v>0</v>
      </c>
      <c r="AF109" s="21" t="n">
        <f aca="false">IF(AF4="",0,IF(COUNTIF(AF7:AF106,"&gt;0")&gt;0,1,0))</f>
        <v>0</v>
      </c>
      <c r="AG109" s="21" t="n">
        <f aca="false">IF(AG4="",0,IF(COUNTIF(AG7:AG106,"&gt;0")&gt;0,1,0))</f>
        <v>0</v>
      </c>
      <c r="AH109" s="21" t="n">
        <f aca="false">IF(AH4="",0,IF(COUNTIF(AH7:AH106,"&gt;0")&gt;0,1,0))</f>
        <v>0</v>
      </c>
      <c r="AI109" s="21" t="n">
        <f aca="false">IF(AI4="",0,IF(COUNTIF(AI7:AI106,"&gt;0")&gt;0,1,0))</f>
        <v>0</v>
      </c>
      <c r="AJ109" s="21" t="n">
        <f aca="false">IF(AJ4="",0,IF(COUNTIF(AJ7:AJ106,"&gt;0")&gt;0,1,0))</f>
        <v>0</v>
      </c>
      <c r="AK109" s="21" t="n">
        <f aca="false">IF(AK4="",0,IF(COUNTIF(AK7:AK106,"&gt;0")&gt;0,1,0))</f>
        <v>0</v>
      </c>
      <c r="AL109" s="21" t="n">
        <f aca="false">IF(AL4="",0,IF(COUNTIF(AL7:AL106,"&gt;0")&gt;0,1,0))</f>
        <v>0</v>
      </c>
      <c r="AM109" s="21" t="n">
        <f aca="false">IF(AM4="",0,IF(COUNTIF(AM7:AM106,"&gt;0")&gt;0,1,0))</f>
        <v>0</v>
      </c>
      <c r="AN109" s="21" t="n">
        <f aca="false">IF(AN4="",0,IF(COUNTIF(AN7:AN106,"&gt;0")&gt;0,1,0))</f>
        <v>0</v>
      </c>
      <c r="AO109" s="21" t="n">
        <f aca="false">IF(AO4="",0,IF(COUNTIF(AO7:AO106,"&gt;0")&gt;0,1,0))</f>
        <v>0</v>
      </c>
      <c r="AP109" s="21" t="n">
        <f aca="false">IF(AP4="",0,IF(COUNTIF(AP7:AP106,"&gt;0")&gt;0,1,0))</f>
        <v>0</v>
      </c>
      <c r="AQ109" s="21" t="n">
        <f aca="false">IF(AQ4="",0,IF(COUNTIF(AQ7:AQ106,"&gt;0")&gt;0,1,0))</f>
        <v>0</v>
      </c>
      <c r="AR109" s="21" t="n">
        <f aca="false">IF(AR4="",0,IF(COUNTIF(AR7:AR106,"&gt;0")&gt;0,1,0))</f>
        <v>0</v>
      </c>
      <c r="AS109" s="21" t="n">
        <f aca="false">IF(AS4="",0,IF(COUNTIF(AS7:AS106,"&gt;0")&gt;0,1,0))</f>
        <v>0</v>
      </c>
      <c r="AT109" s="21" t="n">
        <f aca="false">IF(AT4="",0,IF(COUNTIF(AT7:AT106,"&gt;0")&gt;0,1,0))</f>
        <v>0</v>
      </c>
      <c r="AU109" s="21" t="n">
        <f aca="false">IF(AU4="",0,IF(COUNTIF(AU7:AU106,"&gt;0")&gt;0,1,0))</f>
        <v>0</v>
      </c>
      <c r="AV109" s="21" t="n">
        <f aca="false">IF(AV4="",0,IF(COUNTIF(AV7:AV106,"&gt;0")&gt;0,1,0))</f>
        <v>0</v>
      </c>
      <c r="AW109" s="21" t="n">
        <f aca="false">IF(AW4="",0,IF(COUNTIF(AW7:AW106,"&gt;0")&gt;0,1,0))</f>
        <v>0</v>
      </c>
      <c r="AX109" s="21" t="n">
        <f aca="false">IF(AX4="",0,IF(COUNTIF(AX7:AX106,"&gt;0")&gt;0,1,0))</f>
        <v>0</v>
      </c>
      <c r="AY109" s="21" t="n">
        <f aca="false">IF(AY4="",0,IF(COUNTIF(AY7:AY106,"&gt;0")&gt;0,1,0))</f>
        <v>0</v>
      </c>
      <c r="AZ109" s="21" t="n">
        <f aca="false">IF(AZ4="",0,IF(COUNTIF(AZ7:AZ106,"&gt;0")&gt;0,1,0))</f>
        <v>0</v>
      </c>
      <c r="BA109" s="21" t="n">
        <f aca="false">IF(BA4="",0,IF(COUNTIF(BA7:BA106,"&gt;0")&gt;0,1,0))</f>
        <v>0</v>
      </c>
      <c r="BB109" s="21" t="n">
        <f aca="false">IF(BB4="",0,IF(COUNTIF(BB7:BB106,"&gt;0")&gt;0,1,0))</f>
        <v>0</v>
      </c>
      <c r="BC109" s="21" t="n">
        <f aca="false">IF(BC4="",0,IF(COUNTIF(BC7:BC106,"&gt;0")&gt;0,1,0))</f>
        <v>0</v>
      </c>
      <c r="BD109" s="21" t="n">
        <f aca="false">IF(BD4="",0,IF(COUNTIF(BD7:BD106,"&gt;0")&gt;0,1,0))</f>
        <v>0</v>
      </c>
      <c r="BE109" s="21" t="n">
        <f aca="false">IF(BE4="",0,IF(COUNTIF(BE7:BE106,"&gt;0")&gt;0,1,0))</f>
        <v>0</v>
      </c>
      <c r="BF109" s="21" t="n">
        <f aca="false">IF(BF4="",0,IF(COUNTIF(BF7:BF106,"&gt;0")&gt;0,1,0))</f>
        <v>0</v>
      </c>
      <c r="BG109" s="21" t="n">
        <f aca="false">IF(BG4="",0,IF(COUNTIF(BG7:BG106,"&gt;0")&gt;0,1,0))</f>
        <v>0</v>
      </c>
      <c r="BH109" s="21" t="n">
        <f aca="false">IF(BH4="",0,IF(COUNTIF(BH7:BH106,"&gt;0")&gt;0,1,0))</f>
        <v>0</v>
      </c>
      <c r="BI109" s="21" t="n">
        <f aca="false">IF(BI4="",0,IF(COUNTIF(BI7:BI106,"&gt;0")&gt;0,1,0))</f>
        <v>0</v>
      </c>
      <c r="BJ109" s="21" t="n">
        <f aca="false">IF(BJ4="",0,IF(COUNTIF(BJ7:BJ106,"&gt;0")&gt;0,1,0))</f>
        <v>0</v>
      </c>
      <c r="BK109" s="21" t="n">
        <f aca="false">IF(BK4="",0,IF(COUNTIF(BK7:BK106,"&gt;0")&gt;0,1,0))</f>
        <v>0</v>
      </c>
      <c r="BL109" s="21" t="n">
        <f aca="false">IF(BL4="",0,IF(COUNTIF(BL7:BL106,"&gt;0")&gt;0,1,0))</f>
        <v>0</v>
      </c>
      <c r="BM109" s="21" t="n">
        <f aca="false">IF(BM4="",0,IF(COUNTIF(BM7:BM106,"&gt;0")&gt;0,1,0))</f>
        <v>0</v>
      </c>
      <c r="BN109" s="21" t="n">
        <f aca="false">IF(BN4="",0,IF(COUNTIF(BN7:BN106,"&gt;0")&gt;0,1,0))</f>
        <v>0</v>
      </c>
      <c r="BO109" s="21" t="n">
        <f aca="false">IF(BO4="",0,IF(COUNTIF(BO7:BO106,"&gt;0")&gt;0,1,0))</f>
        <v>0</v>
      </c>
      <c r="BP109" s="21" t="n">
        <f aca="false">IF(BP4="",0,IF(COUNTIF(BP7:BP106,"&gt;0")&gt;0,1,0))</f>
        <v>0</v>
      </c>
      <c r="BQ109" s="21" t="n">
        <f aca="false">IF(BQ4="",0,IF(COUNTIF(BQ7:BQ106,"&gt;0")&gt;0,1,0))</f>
        <v>0</v>
      </c>
      <c r="BR109" s="21" t="n">
        <f aca="false">IF(BR4="",0,IF(COUNTIF(BR7:BR106,"&gt;0")&gt;0,1,0))</f>
        <v>0</v>
      </c>
      <c r="BS109" s="21" t="n">
        <f aca="false">IF(BS4="",0,IF(COUNTIF(BS7:BS106,"&gt;0")&gt;0,1,0))</f>
        <v>0</v>
      </c>
      <c r="BT109" s="21" t="n">
        <f aca="false">IF(BT4="",0,IF(COUNTIF(BT7:BT106,"&gt;0")&gt;0,1,0))</f>
        <v>0</v>
      </c>
      <c r="BU109" s="21" t="n">
        <f aca="false">IF(BU4="",0,IF(COUNTIF(BU7:BU106,"&gt;0")&gt;0,1,0))</f>
        <v>0</v>
      </c>
      <c r="BV109" s="21" t="n">
        <f aca="false">IF(BV4="",0,IF(COUNTIF(BV7:BV106,"&gt;0")&gt;0,1,0))</f>
        <v>0</v>
      </c>
      <c r="BW109" s="21" t="n">
        <f aca="false">IF(BW4="",0,IF(COUNTIF(BW7:BW106,"&gt;0")&gt;0,1,0))</f>
        <v>0</v>
      </c>
      <c r="BX109" s="21" t="n">
        <f aca="false">IF(BX4="",0,IF(COUNTIF(BX7:BX106,"&gt;0")&gt;0,1,0))</f>
        <v>0</v>
      </c>
      <c r="BY109" s="21" t="n">
        <f aca="false">IF(BY4="",0,IF(COUNTIF(BY7:BY106,"&gt;0")&gt;0,1,0))</f>
        <v>0</v>
      </c>
      <c r="BZ109" s="21" t="n">
        <f aca="false">IF(BZ4="",0,IF(COUNTIF(BZ7:BZ106,"&gt;0")&gt;0,1,0))</f>
        <v>0</v>
      </c>
      <c r="CA109" s="21" t="n">
        <f aca="false">IF(CA4="",0,IF(COUNTIF(CA7:CA106,"&gt;0")&gt;0,1,0))</f>
        <v>0</v>
      </c>
      <c r="CB109" s="21" t="n">
        <f aca="false">IF(CB4="",0,IF(COUNTIF(CB7:CB106,"&gt;0")&gt;0,1,0))</f>
        <v>0</v>
      </c>
      <c r="CC109" s="21" t="n">
        <f aca="false">IF(CC4="",0,IF(COUNTIF(CC7:CC106,"&gt;0")&gt;0,1,0))</f>
        <v>0</v>
      </c>
      <c r="CD109" s="21" t="n">
        <f aca="false">IF(CD4="",0,IF(COUNTIF(CD7:CD106,"&gt;0")&gt;0,1,0))</f>
        <v>0</v>
      </c>
      <c r="CE109" s="21" t="n">
        <f aca="false">IF(CE4="",0,IF(COUNTIF(CE7:CE106,"&gt;0")&gt;0,1,0))</f>
        <v>0</v>
      </c>
      <c r="CF109" s="21" t="n">
        <f aca="false">IF(CF4="",0,IF(COUNTIF(CF7:CF106,"&gt;0")&gt;0,1,0))</f>
        <v>0</v>
      </c>
      <c r="CG109" s="21" t="n">
        <f aca="false">IF(CG4="",0,IF(COUNTIF(CG7:CG106,"&gt;0")&gt;0,1,0))</f>
        <v>0</v>
      </c>
      <c r="CH109" s="21" t="n">
        <f aca="false">IF(CH4="",0,IF(COUNTIF(CH7:CH106,"&gt;0")&gt;0,1,0))</f>
        <v>0</v>
      </c>
      <c r="CI109" s="21" t="n">
        <f aca="false">IF(CI4="",0,IF(COUNTIF(CI7:CI106,"&gt;0")&gt;0,1,0))</f>
        <v>0</v>
      </c>
      <c r="CJ109" s="21" t="n">
        <f aca="false">IF(CJ4="",0,IF(COUNTIF(CJ7:CJ106,"&gt;0")&gt;0,1,0))</f>
        <v>0</v>
      </c>
      <c r="CK109" s="21" t="n">
        <f aca="false">IF(CK4="",0,IF(COUNTIF(CK7:CK106,"&gt;0")&gt;0,1,0))</f>
        <v>0</v>
      </c>
      <c r="CL109" s="21" t="n">
        <f aca="false">IF(CL4="",0,IF(COUNTIF(CL7:CL106,"&gt;0")&gt;0,1,0))</f>
        <v>0</v>
      </c>
      <c r="CM109" s="21" t="n">
        <f aca="false">IF(CM4="",0,IF(COUNTIF(CM7:CM106,"&gt;0")&gt;0,1,0))</f>
        <v>0</v>
      </c>
    </row>
    <row r="110" customFormat="false" ht="15" hidden="false" customHeight="false" outlineLevel="0" collapsed="false">
      <c r="A110" s="8" t="s">
        <v>268</v>
      </c>
      <c r="B110" s="21" t="n">
        <f aca="false">B109*IF(B4="",0,B4)</f>
        <v>0</v>
      </c>
      <c r="C110" s="21" t="n">
        <f aca="false">C109*IF(C4="",0,C4)</f>
        <v>0</v>
      </c>
      <c r="D110" s="21" t="n">
        <f aca="false">D109*IF(D4="",0,D4)</f>
        <v>0</v>
      </c>
      <c r="E110" s="21" t="n">
        <f aca="false">E109*IF(E4="",0,E4)</f>
        <v>0</v>
      </c>
      <c r="F110" s="21" t="n">
        <f aca="false">F109*IF(F4="",0,F4)</f>
        <v>0</v>
      </c>
      <c r="G110" s="21" t="n">
        <f aca="false">G109*IF(G4="",0,G4)</f>
        <v>0</v>
      </c>
      <c r="H110" s="21" t="n">
        <f aca="false">H109*IF(H4="",0,H4)</f>
        <v>0</v>
      </c>
      <c r="I110" s="21" t="n">
        <f aca="false">I109*IF(I4="",0,I4)</f>
        <v>0</v>
      </c>
      <c r="J110" s="21" t="n">
        <f aca="false">J109*IF(J4="",0,J4)</f>
        <v>0</v>
      </c>
      <c r="K110" s="21" t="n">
        <f aca="false">K109*IF(K4="",0,K4)</f>
        <v>0</v>
      </c>
      <c r="L110" s="21" t="n">
        <f aca="false">L109*IF(L4="",0,L4)</f>
        <v>0</v>
      </c>
      <c r="M110" s="21" t="n">
        <f aca="false">M109*IF(M4="",0,M4)</f>
        <v>0</v>
      </c>
      <c r="N110" s="21" t="n">
        <f aca="false">N109*IF(N4="",0,N4)</f>
        <v>0</v>
      </c>
      <c r="O110" s="21" t="n">
        <f aca="false">O109*IF(O4="",0,O4)</f>
        <v>0</v>
      </c>
      <c r="P110" s="21" t="n">
        <f aca="false">P109*IF(P4="",0,P4)</f>
        <v>0</v>
      </c>
      <c r="Q110" s="21" t="n">
        <f aca="false">Q109*IF(Q4="",0,Q4)</f>
        <v>0</v>
      </c>
      <c r="R110" s="21" t="n">
        <f aca="false">R109*IF(R4="",0,R4)</f>
        <v>0</v>
      </c>
      <c r="S110" s="21" t="n">
        <f aca="false">S109*IF(S4="",0,S4)</f>
        <v>0</v>
      </c>
      <c r="T110" s="21" t="n">
        <f aca="false">T109*IF(T4="",0,T4)</f>
        <v>0</v>
      </c>
      <c r="U110" s="21" t="n">
        <f aca="false">U109*IF(U4="",0,U4)</f>
        <v>0</v>
      </c>
      <c r="V110" s="21" t="n">
        <f aca="false">V109*IF(V4="",0,V4)</f>
        <v>0</v>
      </c>
      <c r="W110" s="21" t="n">
        <f aca="false">W109*IF(W4="",0,W4)</f>
        <v>0</v>
      </c>
      <c r="X110" s="21" t="n">
        <f aca="false">X109*IF(X4="",0,X4)</f>
        <v>0</v>
      </c>
      <c r="Y110" s="21" t="n">
        <f aca="false">Y109*IF(Y4="",0,Y4)</f>
        <v>0</v>
      </c>
      <c r="Z110" s="21" t="n">
        <f aca="false">Z109*IF(Z4="",0,Z4)</f>
        <v>0</v>
      </c>
      <c r="AA110" s="21" t="n">
        <f aca="false">AA109*IF(AA4="",0,AA4)</f>
        <v>0</v>
      </c>
      <c r="AB110" s="21" t="n">
        <f aca="false">AB109*IF(AB4="",0,AB4)</f>
        <v>0</v>
      </c>
      <c r="AC110" s="21" t="n">
        <f aca="false">AC109*IF(AC4="",0,AC4)</f>
        <v>0</v>
      </c>
      <c r="AD110" s="21" t="n">
        <f aca="false">AD109*IF(AD4="",0,AD4)</f>
        <v>0</v>
      </c>
      <c r="AE110" s="21" t="n">
        <f aca="false">AE109*IF(AE4="",0,AE4)</f>
        <v>0</v>
      </c>
      <c r="AF110" s="21" t="n">
        <f aca="false">AF109*IF(AF4="",0,AF4)</f>
        <v>0</v>
      </c>
      <c r="AG110" s="21" t="n">
        <f aca="false">AG109*IF(AG4="",0,AG4)</f>
        <v>0</v>
      </c>
      <c r="AH110" s="21" t="n">
        <f aca="false">AH109*IF(AH4="",0,AH4)</f>
        <v>0</v>
      </c>
      <c r="AI110" s="21" t="n">
        <f aca="false">AI109*IF(AI4="",0,AI4)</f>
        <v>0</v>
      </c>
      <c r="AJ110" s="21" t="n">
        <f aca="false">AJ109*IF(AJ4="",0,AJ4)</f>
        <v>0</v>
      </c>
      <c r="AK110" s="21" t="n">
        <f aca="false">AK109*IF(AK4="",0,AK4)</f>
        <v>0</v>
      </c>
      <c r="AL110" s="21" t="n">
        <f aca="false">AL109*IF(AL4="",0,AL4)</f>
        <v>0</v>
      </c>
      <c r="AM110" s="21" t="n">
        <f aca="false">AM109*IF(AM4="",0,AM4)</f>
        <v>0</v>
      </c>
      <c r="AN110" s="21" t="n">
        <f aca="false">AN109*IF(AN4="",0,AN4)</f>
        <v>0</v>
      </c>
      <c r="AO110" s="21" t="n">
        <f aca="false">AO109*IF(AO4="",0,AO4)</f>
        <v>0</v>
      </c>
      <c r="AP110" s="21" t="n">
        <f aca="false">AP109*IF(AP4="",0,AP4)</f>
        <v>0</v>
      </c>
      <c r="AQ110" s="21" t="n">
        <f aca="false">AQ109*IF(AQ4="",0,AQ4)</f>
        <v>0</v>
      </c>
      <c r="AR110" s="21" t="n">
        <f aca="false">AR109*IF(AR4="",0,AR4)</f>
        <v>0</v>
      </c>
      <c r="AS110" s="21" t="n">
        <f aca="false">AS109*IF(AS4="",0,AS4)</f>
        <v>0</v>
      </c>
      <c r="AT110" s="21" t="n">
        <f aca="false">AT109*IF(AT4="",0,AT4)</f>
        <v>0</v>
      </c>
      <c r="AU110" s="21" t="n">
        <f aca="false">AU109*IF(AU4="",0,AU4)</f>
        <v>0</v>
      </c>
      <c r="AV110" s="21" t="n">
        <f aca="false">AV109*IF(AV4="",0,AV4)</f>
        <v>0</v>
      </c>
      <c r="AW110" s="21" t="n">
        <f aca="false">AW109*IF(AW4="",0,AW4)</f>
        <v>0</v>
      </c>
      <c r="AX110" s="21" t="n">
        <f aca="false">AX109*IF(AX4="",0,AX4)</f>
        <v>0</v>
      </c>
      <c r="AY110" s="21" t="n">
        <f aca="false">AY109*IF(AY4="",0,AY4)</f>
        <v>0</v>
      </c>
      <c r="AZ110" s="21" t="n">
        <f aca="false">AZ109*IF(AZ4="",0,AZ4)</f>
        <v>0</v>
      </c>
      <c r="BA110" s="21" t="n">
        <f aca="false">BA109*IF(BA4="",0,BA4)</f>
        <v>0</v>
      </c>
      <c r="BB110" s="21" t="n">
        <f aca="false">BB109*IF(BB4="",0,BB4)</f>
        <v>0</v>
      </c>
      <c r="BC110" s="21" t="n">
        <f aca="false">BC109*IF(BC4="",0,BC4)</f>
        <v>0</v>
      </c>
      <c r="BD110" s="21" t="n">
        <f aca="false">BD109*IF(BD4="",0,BD4)</f>
        <v>0</v>
      </c>
      <c r="BE110" s="21" t="n">
        <f aca="false">BE109*IF(BE4="",0,BE4)</f>
        <v>0</v>
      </c>
      <c r="BF110" s="21" t="n">
        <f aca="false">BF109*IF(BF4="",0,BF4)</f>
        <v>0</v>
      </c>
      <c r="BG110" s="21" t="n">
        <f aca="false">BG109*IF(BG4="",0,BG4)</f>
        <v>0</v>
      </c>
      <c r="BH110" s="21" t="n">
        <f aca="false">BH109*IF(BH4="",0,BH4)</f>
        <v>0</v>
      </c>
      <c r="BI110" s="21" t="n">
        <f aca="false">BI109*IF(BI4="",0,BI4)</f>
        <v>0</v>
      </c>
      <c r="BJ110" s="21" t="n">
        <f aca="false">BJ109*IF(BJ4="",0,BJ4)</f>
        <v>0</v>
      </c>
      <c r="BK110" s="21" t="n">
        <f aca="false">BK109*IF(BK4="",0,BK4)</f>
        <v>0</v>
      </c>
      <c r="BL110" s="21" t="n">
        <f aca="false">BL109*IF(BL4="",0,BL4)</f>
        <v>0</v>
      </c>
      <c r="BM110" s="21" t="n">
        <f aca="false">BM109*IF(BM4="",0,BM4)</f>
        <v>0</v>
      </c>
      <c r="BN110" s="21" t="n">
        <f aca="false">BN109*IF(BN4="",0,BN4)</f>
        <v>0</v>
      </c>
      <c r="BO110" s="21" t="n">
        <f aca="false">BO109*IF(BO4="",0,BO4)</f>
        <v>0</v>
      </c>
      <c r="BP110" s="21" t="n">
        <f aca="false">BP109*IF(BP4="",0,BP4)</f>
        <v>0</v>
      </c>
      <c r="BQ110" s="21" t="n">
        <f aca="false">BQ109*IF(BQ4="",0,BQ4)</f>
        <v>0</v>
      </c>
      <c r="BR110" s="21" t="n">
        <f aca="false">BR109*IF(BR4="",0,BR4)</f>
        <v>0</v>
      </c>
      <c r="BS110" s="21" t="n">
        <f aca="false">BS109*IF(BS4="",0,BS4)</f>
        <v>0</v>
      </c>
      <c r="BT110" s="21" t="n">
        <f aca="false">BT109*IF(BT4="",0,BT4)</f>
        <v>0</v>
      </c>
      <c r="BU110" s="21" t="n">
        <f aca="false">BU109*IF(BU4="",0,BU4)</f>
        <v>0</v>
      </c>
      <c r="BV110" s="21" t="n">
        <f aca="false">BV109*IF(BV4="",0,BV4)</f>
        <v>0</v>
      </c>
      <c r="BW110" s="21" t="n">
        <f aca="false">BW109*IF(BW4="",0,BW4)</f>
        <v>0</v>
      </c>
      <c r="BX110" s="21" t="n">
        <f aca="false">BX109*IF(BX4="",0,BX4)</f>
        <v>0</v>
      </c>
      <c r="BY110" s="21" t="n">
        <f aca="false">BY109*IF(BY4="",0,BY4)</f>
        <v>0</v>
      </c>
      <c r="BZ110" s="21" t="n">
        <f aca="false">BZ109*IF(BZ4="",0,BZ4)</f>
        <v>0</v>
      </c>
      <c r="CA110" s="21" t="n">
        <f aca="false">CA109*IF(CA4="",0,CA4)</f>
        <v>0</v>
      </c>
      <c r="CB110" s="21" t="n">
        <f aca="false">CB109*IF(CB4="",0,CB4)</f>
        <v>0</v>
      </c>
      <c r="CC110" s="21" t="n">
        <f aca="false">CC109*IF(CC4="",0,CC4)</f>
        <v>0</v>
      </c>
      <c r="CD110" s="21" t="n">
        <f aca="false">CD109*IF(CD4="",0,CD4)</f>
        <v>0</v>
      </c>
      <c r="CE110" s="21" t="n">
        <f aca="false">CE109*IF(CE4="",0,CE4)</f>
        <v>0</v>
      </c>
      <c r="CF110" s="21" t="n">
        <f aca="false">CF109*IF(CF4="",0,CF4)</f>
        <v>0</v>
      </c>
      <c r="CG110" s="21" t="n">
        <f aca="false">CG109*IF(CG4="",0,CG4)</f>
        <v>0</v>
      </c>
      <c r="CH110" s="21" t="n">
        <f aca="false">CH109*IF(CH4="",0,CH4)</f>
        <v>0</v>
      </c>
      <c r="CI110" s="21" t="n">
        <f aca="false">CI109*IF(CI4="",0,CI4)</f>
        <v>0</v>
      </c>
      <c r="CJ110" s="21" t="n">
        <f aca="false">CJ109*IF(CJ4="",0,CJ4)</f>
        <v>0</v>
      </c>
      <c r="CK110" s="21" t="n">
        <f aca="false">CK109*IF(CK4="",0,CK4)</f>
        <v>0</v>
      </c>
      <c r="CL110" s="21" t="n">
        <f aca="false">CL109*IF(CL4="",0,CL4)</f>
        <v>0</v>
      </c>
      <c r="CM110" s="21" t="n">
        <f aca="false">CM109*IF(CM4="",0,CM4)</f>
        <v>0</v>
      </c>
    </row>
    <row r="112" customFormat="false" ht="15" hidden="false" customHeight="false" outlineLevel="0" collapsed="false">
      <c r="A112" s="6" t="s">
        <v>269</v>
      </c>
      <c r="B112" s="7"/>
      <c r="C112" s="7"/>
    </row>
    <row r="113" customFormat="false" ht="15" hidden="false" customHeight="false" outlineLevel="0" collapsed="false">
      <c r="A113" s="8" t="s">
        <v>270</v>
      </c>
      <c r="B113" s="16" t="n">
        <f aca="false">SUM(B110:CM110)</f>
        <v>0</v>
      </c>
    </row>
    <row r="114" customFormat="false" ht="15" hidden="false" customHeight="false" outlineLevel="0" collapsed="false">
      <c r="A114" s="8" t="s">
        <v>271</v>
      </c>
      <c r="B114" s="26" t="n">
        <v>139</v>
      </c>
    </row>
    <row r="115" customFormat="false" ht="15" hidden="false" customHeight="false" outlineLevel="0" collapsed="false">
      <c r="A115" s="8" t="s">
        <v>272</v>
      </c>
      <c r="B115" s="27" t="n">
        <f aca="false">1-(B113/B114)</f>
        <v>1</v>
      </c>
    </row>
    <row r="116" customFormat="false" ht="15" hidden="false" customHeight="false" outlineLevel="0" collapsed="false">
      <c r="A116" s="13" t="s">
        <v>273</v>
      </c>
      <c r="B116" s="14" t="n">
        <f aca="false">MIN(1,MAX(0,ROUND(B115,2)))</f>
        <v>1</v>
      </c>
    </row>
    <row r="118" customFormat="false" ht="15" hidden="false" customHeight="false" outlineLevel="0" collapsed="false">
      <c r="A118" s="8" t="s">
        <v>274</v>
      </c>
      <c r="B118" s="28" t="n">
        <f aca="false">Calculator!$B$6</f>
        <v>55</v>
      </c>
    </row>
    <row r="119" customFormat="false" ht="15" hidden="false" customHeight="false" outlineLevel="0" collapsed="false">
      <c r="A119" s="8" t="s">
        <v>275</v>
      </c>
      <c r="B119" s="16" t="n">
        <f aca="false">SUM(CO6:CO106)</f>
        <v>1</v>
      </c>
    </row>
    <row r="120" customFormat="false" ht="15" hidden="false" customHeight="false" outlineLevel="0" collapsed="false">
      <c r="A120" s="8" t="s">
        <v>276</v>
      </c>
      <c r="B120" s="27" t="n">
        <f aca="false">1-(B119/B118)</f>
        <v>0.981818181818182</v>
      </c>
    </row>
    <row r="121" customFormat="false" ht="15" hidden="false" customHeight="false" outlineLevel="0" collapsed="false">
      <c r="A121" s="13" t="s">
        <v>277</v>
      </c>
      <c r="B121" s="14" t="n">
        <f aca="false">MIN(1,MAX(0,ROUND(B120,2)))</f>
        <v>0.98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A1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16"/>
    <col collapsed="false" customWidth="true" hidden="false" outlineLevel="0" max="105" min="6" style="0" width="9"/>
  </cols>
  <sheetData>
    <row r="1" customFormat="false" ht="17.35" hidden="false" customHeight="false" outlineLevel="0" collapsed="false">
      <c r="A1" s="1" t="s">
        <v>278</v>
      </c>
    </row>
    <row r="2" customFormat="false" ht="46.25" hidden="false" customHeight="false" outlineLevel="0" collapsed="false">
      <c r="A2" s="3" t="s">
        <v>279</v>
      </c>
      <c r="B2" s="29" t="s">
        <v>64</v>
      </c>
    </row>
    <row r="4" customFormat="false" ht="15" hidden="false" customHeight="false" outlineLevel="0" collapsed="false">
      <c r="A4" s="30" t="s">
        <v>280</v>
      </c>
      <c r="B4" s="18" t="s">
        <v>261</v>
      </c>
      <c r="C4" s="18" t="s">
        <v>262</v>
      </c>
      <c r="D4" s="18" t="s">
        <v>267</v>
      </c>
      <c r="E4" s="18" t="s">
        <v>268</v>
      </c>
      <c r="F4" s="10" t="s">
        <v>281</v>
      </c>
    </row>
    <row r="5" customFormat="false" ht="15" hidden="false" customHeight="false" outlineLevel="0" collapsed="false">
      <c r="F5" s="23" t="s">
        <v>282</v>
      </c>
      <c r="G5" s="23" t="s">
        <v>283</v>
      </c>
      <c r="H5" s="23" t="s">
        <v>264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  <c r="CK5" s="24"/>
      <c r="CL5" s="24"/>
      <c r="CM5" s="24"/>
      <c r="CN5" s="24"/>
      <c r="CO5" s="24"/>
      <c r="CP5" s="24"/>
      <c r="CQ5" s="24"/>
      <c r="CR5" s="24"/>
      <c r="CS5" s="24"/>
      <c r="CT5" s="24"/>
      <c r="CU5" s="24"/>
      <c r="CV5" s="24"/>
      <c r="CW5" s="24"/>
      <c r="CX5" s="24"/>
      <c r="CY5" s="24"/>
      <c r="CZ5" s="24"/>
      <c r="DA5" s="24"/>
    </row>
    <row r="6" customFormat="false" ht="15" hidden="false" customHeight="false" outlineLevel="0" collapsed="false">
      <c r="A6" s="31" t="s">
        <v>132</v>
      </c>
      <c r="B6" s="21" t="str">
        <f aca="false">IF($A6="","",IFERROR(INDEX('OCTMS Risk Map'!$B$4:$B$129,MATCH($A6,'OCTMS Risk Map'!$A$4:$A$129,0)),$B$2))</f>
        <v>H</v>
      </c>
      <c r="C6" s="21" t="n">
        <f aca="false">IF($A6="","",IFERROR(INDEX('OCTMS Risk Map'!$C$4:$C$129,MATCH($A6,'OCTMS Risk Map'!$A$4:$A$129,0)),IF($B$2="H",3,IF($B$2="M",2,1))))</f>
        <v>3</v>
      </c>
      <c r="D6" s="21" t="n">
        <f aca="false">IF($A6="","",IF(COUNTIF(F6:DA6,"&gt;0")&gt;0,1,0))</f>
        <v>1</v>
      </c>
      <c r="E6" s="21" t="n">
        <f aca="false">IF(D6="",0,D6*C6)</f>
        <v>3</v>
      </c>
      <c r="F6" s="25" t="n">
        <v>1</v>
      </c>
      <c r="G6" s="25" t="n">
        <v>0</v>
      </c>
      <c r="H6" s="25" t="n">
        <v>1</v>
      </c>
    </row>
    <row r="7" customFormat="false" ht="15" hidden="false" customHeight="false" outlineLevel="0" collapsed="false">
      <c r="A7" s="32"/>
      <c r="B7" s="21" t="str">
        <f aca="false">IF($A7="","",IFERROR(INDEX('OCTMS Risk Map'!$B$4:$B$129,MATCH($A7,'OCTMS Risk Map'!$A$4:$A$129,0)),$B$2))</f>
        <v/>
      </c>
      <c r="C7" s="21" t="str">
        <f aca="false">IF($A7="","",IFERROR(INDEX('OCTMS Risk Map'!$C$4:$C$129,MATCH($A7,'OCTMS Risk Map'!$A$4:$A$129,0)),IF($B$2="H",3,IF($B$2="M",2,1))))</f>
        <v/>
      </c>
      <c r="D7" s="21" t="str">
        <f aca="false">IF($A7="","",IF(COUNTIF(F7:DA7,"&gt;0")&gt;0,1,0))</f>
        <v/>
      </c>
      <c r="E7" s="21" t="n">
        <f aca="false">IF(D7="",0,D7*C7)</f>
        <v>0</v>
      </c>
    </row>
    <row r="8" customFormat="false" ht="15" hidden="false" customHeight="false" outlineLevel="0" collapsed="false">
      <c r="A8" s="32"/>
      <c r="B8" s="21" t="str">
        <f aca="false">IF($A8="","",IFERROR(INDEX('OCTMS Risk Map'!$B$4:$B$129,MATCH($A8,'OCTMS Risk Map'!$A$4:$A$129,0)),$B$2))</f>
        <v/>
      </c>
      <c r="C8" s="21" t="str">
        <f aca="false">IF($A8="","",IFERROR(INDEX('OCTMS Risk Map'!$C$4:$C$129,MATCH($A8,'OCTMS Risk Map'!$A$4:$A$129,0)),IF($B$2="H",3,IF($B$2="M",2,1))))</f>
        <v/>
      </c>
      <c r="D8" s="21" t="str">
        <f aca="false">IF($A8="","",IF(COUNTIF(F8:DA8,"&gt;0")&gt;0,1,0))</f>
        <v/>
      </c>
      <c r="E8" s="21" t="n">
        <f aca="false">IF(D8="",0,D8*C8)</f>
        <v>0</v>
      </c>
    </row>
    <row r="9" customFormat="false" ht="15" hidden="false" customHeight="false" outlineLevel="0" collapsed="false">
      <c r="A9" s="32"/>
      <c r="B9" s="21" t="str">
        <f aca="false">IF($A9="","",IFERROR(INDEX('OCTMS Risk Map'!$B$4:$B$129,MATCH($A9,'OCTMS Risk Map'!$A$4:$A$129,0)),$B$2))</f>
        <v/>
      </c>
      <c r="C9" s="21" t="str">
        <f aca="false">IF($A9="","",IFERROR(INDEX('OCTMS Risk Map'!$C$4:$C$129,MATCH($A9,'OCTMS Risk Map'!$A$4:$A$129,0)),IF($B$2="H",3,IF($B$2="M",2,1))))</f>
        <v/>
      </c>
      <c r="D9" s="21" t="str">
        <f aca="false">IF($A9="","",IF(COUNTIF(F9:DA9,"&gt;0")&gt;0,1,0))</f>
        <v/>
      </c>
      <c r="E9" s="21" t="n">
        <f aca="false">IF(D9="",0,D9*C9)</f>
        <v>0</v>
      </c>
    </row>
    <row r="10" customFormat="false" ht="15" hidden="false" customHeight="false" outlineLevel="0" collapsed="false">
      <c r="A10" s="32"/>
      <c r="B10" s="21" t="str">
        <f aca="false">IF($A10="","",IFERROR(INDEX('OCTMS Risk Map'!$B$4:$B$129,MATCH($A10,'OCTMS Risk Map'!$A$4:$A$129,0)),$B$2))</f>
        <v/>
      </c>
      <c r="C10" s="21" t="str">
        <f aca="false">IF($A10="","",IFERROR(INDEX('OCTMS Risk Map'!$C$4:$C$129,MATCH($A10,'OCTMS Risk Map'!$A$4:$A$129,0)),IF($B$2="H",3,IF($B$2="M",2,1))))</f>
        <v/>
      </c>
      <c r="D10" s="21" t="str">
        <f aca="false">IF($A10="","",IF(COUNTIF(F10:DA10,"&gt;0")&gt;0,1,0))</f>
        <v/>
      </c>
      <c r="E10" s="21" t="n">
        <f aca="false">IF(D10="",0,D10*C10)</f>
        <v>0</v>
      </c>
    </row>
    <row r="11" customFormat="false" ht="15" hidden="false" customHeight="false" outlineLevel="0" collapsed="false">
      <c r="A11" s="32"/>
      <c r="B11" s="21" t="str">
        <f aca="false">IF($A11="","",IFERROR(INDEX('OCTMS Risk Map'!$B$4:$B$129,MATCH($A11,'OCTMS Risk Map'!$A$4:$A$129,0)),$B$2))</f>
        <v/>
      </c>
      <c r="C11" s="21" t="str">
        <f aca="false">IF($A11="","",IFERROR(INDEX('OCTMS Risk Map'!$C$4:$C$129,MATCH($A11,'OCTMS Risk Map'!$A$4:$A$129,0)),IF($B$2="H",3,IF($B$2="M",2,1))))</f>
        <v/>
      </c>
      <c r="D11" s="21" t="str">
        <f aca="false">IF($A11="","",IF(COUNTIF(F11:DA11,"&gt;0")&gt;0,1,0))</f>
        <v/>
      </c>
      <c r="E11" s="21" t="n">
        <f aca="false">IF(D11="",0,D11*C11)</f>
        <v>0</v>
      </c>
    </row>
    <row r="12" customFormat="false" ht="15" hidden="false" customHeight="false" outlineLevel="0" collapsed="false">
      <c r="A12" s="32"/>
      <c r="B12" s="21" t="str">
        <f aca="false">IF($A12="","",IFERROR(INDEX('OCTMS Risk Map'!$B$4:$B$129,MATCH($A12,'OCTMS Risk Map'!$A$4:$A$129,0)),$B$2))</f>
        <v/>
      </c>
      <c r="C12" s="21" t="str">
        <f aca="false">IF($A12="","",IFERROR(INDEX('OCTMS Risk Map'!$C$4:$C$129,MATCH($A12,'OCTMS Risk Map'!$A$4:$A$129,0)),IF($B$2="H",3,IF($B$2="M",2,1))))</f>
        <v/>
      </c>
      <c r="D12" s="21" t="str">
        <f aca="false">IF($A12="","",IF(COUNTIF(F12:DA12,"&gt;0")&gt;0,1,0))</f>
        <v/>
      </c>
      <c r="E12" s="21" t="n">
        <f aca="false">IF(D12="",0,D12*C12)</f>
        <v>0</v>
      </c>
    </row>
    <row r="13" customFormat="false" ht="15" hidden="false" customHeight="false" outlineLevel="0" collapsed="false">
      <c r="A13" s="32"/>
      <c r="B13" s="21" t="str">
        <f aca="false">IF($A13="","",IFERROR(INDEX('OCTMS Risk Map'!$B$4:$B$129,MATCH($A13,'OCTMS Risk Map'!$A$4:$A$129,0)),$B$2))</f>
        <v/>
      </c>
      <c r="C13" s="21" t="str">
        <f aca="false">IF($A13="","",IFERROR(INDEX('OCTMS Risk Map'!$C$4:$C$129,MATCH($A13,'OCTMS Risk Map'!$A$4:$A$129,0)),IF($B$2="H",3,IF($B$2="M",2,1))))</f>
        <v/>
      </c>
      <c r="D13" s="21" t="str">
        <f aca="false">IF($A13="","",IF(COUNTIF(F13:DA13,"&gt;0")&gt;0,1,0))</f>
        <v/>
      </c>
      <c r="E13" s="21" t="n">
        <f aca="false">IF(D13="",0,D13*C13)</f>
        <v>0</v>
      </c>
    </row>
    <row r="14" customFormat="false" ht="15" hidden="false" customHeight="false" outlineLevel="0" collapsed="false">
      <c r="A14" s="32"/>
      <c r="B14" s="21" t="str">
        <f aca="false">IF($A14="","",IFERROR(INDEX('OCTMS Risk Map'!$B$4:$B$129,MATCH($A14,'OCTMS Risk Map'!$A$4:$A$129,0)),$B$2))</f>
        <v/>
      </c>
      <c r="C14" s="21" t="str">
        <f aca="false">IF($A14="","",IFERROR(INDEX('OCTMS Risk Map'!$C$4:$C$129,MATCH($A14,'OCTMS Risk Map'!$A$4:$A$129,0)),IF($B$2="H",3,IF($B$2="M",2,1))))</f>
        <v/>
      </c>
      <c r="D14" s="21" t="str">
        <f aca="false">IF($A14="","",IF(COUNTIF(F14:DA14,"&gt;0")&gt;0,1,0))</f>
        <v/>
      </c>
      <c r="E14" s="21" t="n">
        <f aca="false">IF(D14="",0,D14*C14)</f>
        <v>0</v>
      </c>
    </row>
    <row r="15" customFormat="false" ht="15" hidden="false" customHeight="false" outlineLevel="0" collapsed="false">
      <c r="A15" s="32"/>
      <c r="B15" s="21" t="str">
        <f aca="false">IF($A15="","",IFERROR(INDEX('OCTMS Risk Map'!$B$4:$B$129,MATCH($A15,'OCTMS Risk Map'!$A$4:$A$129,0)),$B$2))</f>
        <v/>
      </c>
      <c r="C15" s="21" t="str">
        <f aca="false">IF($A15="","",IFERROR(INDEX('OCTMS Risk Map'!$C$4:$C$129,MATCH($A15,'OCTMS Risk Map'!$A$4:$A$129,0)),IF($B$2="H",3,IF($B$2="M",2,1))))</f>
        <v/>
      </c>
      <c r="D15" s="21" t="str">
        <f aca="false">IF($A15="","",IF(COUNTIF(F15:DA15,"&gt;0")&gt;0,1,0))</f>
        <v/>
      </c>
      <c r="E15" s="21" t="n">
        <f aca="false">IF(D15="",0,D15*C15)</f>
        <v>0</v>
      </c>
    </row>
    <row r="16" customFormat="false" ht="15" hidden="false" customHeight="false" outlineLevel="0" collapsed="false">
      <c r="A16" s="32"/>
      <c r="B16" s="21" t="str">
        <f aca="false">IF($A16="","",IFERROR(INDEX('OCTMS Risk Map'!$B$4:$B$129,MATCH($A16,'OCTMS Risk Map'!$A$4:$A$129,0)),$B$2))</f>
        <v/>
      </c>
      <c r="C16" s="21" t="str">
        <f aca="false">IF($A16="","",IFERROR(INDEX('OCTMS Risk Map'!$C$4:$C$129,MATCH($A16,'OCTMS Risk Map'!$A$4:$A$129,0)),IF($B$2="H",3,IF($B$2="M",2,1))))</f>
        <v/>
      </c>
      <c r="D16" s="21" t="str">
        <f aca="false">IF($A16="","",IF(COUNTIF(F16:DA16,"&gt;0")&gt;0,1,0))</f>
        <v/>
      </c>
      <c r="E16" s="21" t="n">
        <f aca="false">IF(D16="",0,D16*C16)</f>
        <v>0</v>
      </c>
    </row>
    <row r="17" customFormat="false" ht="15" hidden="false" customHeight="false" outlineLevel="0" collapsed="false">
      <c r="A17" s="32"/>
      <c r="B17" s="21" t="str">
        <f aca="false">IF($A17="","",IFERROR(INDEX('OCTMS Risk Map'!$B$4:$B$129,MATCH($A17,'OCTMS Risk Map'!$A$4:$A$129,0)),$B$2))</f>
        <v/>
      </c>
      <c r="C17" s="21" t="str">
        <f aca="false">IF($A17="","",IFERROR(INDEX('OCTMS Risk Map'!$C$4:$C$129,MATCH($A17,'OCTMS Risk Map'!$A$4:$A$129,0)),IF($B$2="H",3,IF($B$2="M",2,1))))</f>
        <v/>
      </c>
      <c r="D17" s="21" t="str">
        <f aca="false">IF($A17="","",IF(COUNTIF(F17:DA17,"&gt;0")&gt;0,1,0))</f>
        <v/>
      </c>
      <c r="E17" s="21" t="n">
        <f aca="false">IF(D17="",0,D17*C17)</f>
        <v>0</v>
      </c>
    </row>
    <row r="18" customFormat="false" ht="15" hidden="false" customHeight="false" outlineLevel="0" collapsed="false">
      <c r="A18" s="32"/>
      <c r="B18" s="21" t="str">
        <f aca="false">IF($A18="","",IFERROR(INDEX('OCTMS Risk Map'!$B$4:$B$129,MATCH($A18,'OCTMS Risk Map'!$A$4:$A$129,0)),$B$2))</f>
        <v/>
      </c>
      <c r="C18" s="21" t="str">
        <f aca="false">IF($A18="","",IFERROR(INDEX('OCTMS Risk Map'!$C$4:$C$129,MATCH($A18,'OCTMS Risk Map'!$A$4:$A$129,0)),IF($B$2="H",3,IF($B$2="M",2,1))))</f>
        <v/>
      </c>
      <c r="D18" s="21" t="str">
        <f aca="false">IF($A18="","",IF(COUNTIF(F18:DA18,"&gt;0")&gt;0,1,0))</f>
        <v/>
      </c>
      <c r="E18" s="21" t="n">
        <f aca="false">IF(D18="",0,D18*C18)</f>
        <v>0</v>
      </c>
    </row>
    <row r="19" customFormat="false" ht="15" hidden="false" customHeight="false" outlineLevel="0" collapsed="false">
      <c r="A19" s="32"/>
      <c r="B19" s="21" t="str">
        <f aca="false">IF($A19="","",IFERROR(INDEX('OCTMS Risk Map'!$B$4:$B$129,MATCH($A19,'OCTMS Risk Map'!$A$4:$A$129,0)),$B$2))</f>
        <v/>
      </c>
      <c r="C19" s="21" t="str">
        <f aca="false">IF($A19="","",IFERROR(INDEX('OCTMS Risk Map'!$C$4:$C$129,MATCH($A19,'OCTMS Risk Map'!$A$4:$A$129,0)),IF($B$2="H",3,IF($B$2="M",2,1))))</f>
        <v/>
      </c>
      <c r="D19" s="21" t="str">
        <f aca="false">IF($A19="","",IF(COUNTIF(F19:DA19,"&gt;0")&gt;0,1,0))</f>
        <v/>
      </c>
      <c r="E19" s="21" t="n">
        <f aca="false">IF(D19="",0,D19*C19)</f>
        <v>0</v>
      </c>
    </row>
    <row r="20" customFormat="false" ht="15" hidden="false" customHeight="false" outlineLevel="0" collapsed="false">
      <c r="A20" s="32"/>
      <c r="B20" s="21" t="str">
        <f aca="false">IF($A20="","",IFERROR(INDEX('OCTMS Risk Map'!$B$4:$B$129,MATCH($A20,'OCTMS Risk Map'!$A$4:$A$129,0)),$B$2))</f>
        <v/>
      </c>
      <c r="C20" s="21" t="str">
        <f aca="false">IF($A20="","",IFERROR(INDEX('OCTMS Risk Map'!$C$4:$C$129,MATCH($A20,'OCTMS Risk Map'!$A$4:$A$129,0)),IF($B$2="H",3,IF($B$2="M",2,1))))</f>
        <v/>
      </c>
      <c r="D20" s="21" t="str">
        <f aca="false">IF($A20="","",IF(COUNTIF(F20:DA20,"&gt;0")&gt;0,1,0))</f>
        <v/>
      </c>
      <c r="E20" s="21" t="n">
        <f aca="false">IF(D20="",0,D20*C20)</f>
        <v>0</v>
      </c>
    </row>
    <row r="21" customFormat="false" ht="15" hidden="false" customHeight="false" outlineLevel="0" collapsed="false">
      <c r="A21" s="32"/>
      <c r="B21" s="21" t="str">
        <f aca="false">IF($A21="","",IFERROR(INDEX('OCTMS Risk Map'!$B$4:$B$129,MATCH($A21,'OCTMS Risk Map'!$A$4:$A$129,0)),$B$2))</f>
        <v/>
      </c>
      <c r="C21" s="21" t="str">
        <f aca="false">IF($A21="","",IFERROR(INDEX('OCTMS Risk Map'!$C$4:$C$129,MATCH($A21,'OCTMS Risk Map'!$A$4:$A$129,0)),IF($B$2="H",3,IF($B$2="M",2,1))))</f>
        <v/>
      </c>
      <c r="D21" s="21" t="str">
        <f aca="false">IF($A21="","",IF(COUNTIF(F21:DA21,"&gt;0")&gt;0,1,0))</f>
        <v/>
      </c>
      <c r="E21" s="21" t="n">
        <f aca="false">IF(D21="",0,D21*C21)</f>
        <v>0</v>
      </c>
    </row>
    <row r="22" customFormat="false" ht="15" hidden="false" customHeight="false" outlineLevel="0" collapsed="false">
      <c r="A22" s="32"/>
      <c r="B22" s="21" t="str">
        <f aca="false">IF($A22="","",IFERROR(INDEX('OCTMS Risk Map'!$B$4:$B$129,MATCH($A22,'OCTMS Risk Map'!$A$4:$A$129,0)),$B$2))</f>
        <v/>
      </c>
      <c r="C22" s="21" t="str">
        <f aca="false">IF($A22="","",IFERROR(INDEX('OCTMS Risk Map'!$C$4:$C$129,MATCH($A22,'OCTMS Risk Map'!$A$4:$A$129,0)),IF($B$2="H",3,IF($B$2="M",2,1))))</f>
        <v/>
      </c>
      <c r="D22" s="21" t="str">
        <f aca="false">IF($A22="","",IF(COUNTIF(F22:DA22,"&gt;0")&gt;0,1,0))</f>
        <v/>
      </c>
      <c r="E22" s="21" t="n">
        <f aca="false">IF(D22="",0,D22*C22)</f>
        <v>0</v>
      </c>
    </row>
    <row r="23" customFormat="false" ht="15" hidden="false" customHeight="false" outlineLevel="0" collapsed="false">
      <c r="A23" s="32"/>
      <c r="B23" s="21" t="str">
        <f aca="false">IF($A23="","",IFERROR(INDEX('OCTMS Risk Map'!$B$4:$B$129,MATCH($A23,'OCTMS Risk Map'!$A$4:$A$129,0)),$B$2))</f>
        <v/>
      </c>
      <c r="C23" s="21" t="str">
        <f aca="false">IF($A23="","",IFERROR(INDEX('OCTMS Risk Map'!$C$4:$C$129,MATCH($A23,'OCTMS Risk Map'!$A$4:$A$129,0)),IF($B$2="H",3,IF($B$2="M",2,1))))</f>
        <v/>
      </c>
      <c r="D23" s="21" t="str">
        <f aca="false">IF($A23="","",IF(COUNTIF(F23:DA23,"&gt;0")&gt;0,1,0))</f>
        <v/>
      </c>
      <c r="E23" s="21" t="n">
        <f aca="false">IF(D23="",0,D23*C23)</f>
        <v>0</v>
      </c>
    </row>
    <row r="24" customFormat="false" ht="15" hidden="false" customHeight="false" outlineLevel="0" collapsed="false">
      <c r="A24" s="32"/>
      <c r="B24" s="21" t="str">
        <f aca="false">IF($A24="","",IFERROR(INDEX('OCTMS Risk Map'!$B$4:$B$129,MATCH($A24,'OCTMS Risk Map'!$A$4:$A$129,0)),$B$2))</f>
        <v/>
      </c>
      <c r="C24" s="21" t="str">
        <f aca="false">IF($A24="","",IFERROR(INDEX('OCTMS Risk Map'!$C$4:$C$129,MATCH($A24,'OCTMS Risk Map'!$A$4:$A$129,0)),IF($B$2="H",3,IF($B$2="M",2,1))))</f>
        <v/>
      </c>
      <c r="D24" s="21" t="str">
        <f aca="false">IF($A24="","",IF(COUNTIF(F24:DA24,"&gt;0")&gt;0,1,0))</f>
        <v/>
      </c>
      <c r="E24" s="21" t="n">
        <f aca="false">IF(D24="",0,D24*C24)</f>
        <v>0</v>
      </c>
    </row>
    <row r="25" customFormat="false" ht="15" hidden="false" customHeight="false" outlineLevel="0" collapsed="false">
      <c r="A25" s="32"/>
      <c r="B25" s="21" t="str">
        <f aca="false">IF($A25="","",IFERROR(INDEX('OCTMS Risk Map'!$B$4:$B$129,MATCH($A25,'OCTMS Risk Map'!$A$4:$A$129,0)),$B$2))</f>
        <v/>
      </c>
      <c r="C25" s="21" t="str">
        <f aca="false">IF($A25="","",IFERROR(INDEX('OCTMS Risk Map'!$C$4:$C$129,MATCH($A25,'OCTMS Risk Map'!$A$4:$A$129,0)),IF($B$2="H",3,IF($B$2="M",2,1))))</f>
        <v/>
      </c>
      <c r="D25" s="21" t="str">
        <f aca="false">IF($A25="","",IF(COUNTIF(F25:DA25,"&gt;0")&gt;0,1,0))</f>
        <v/>
      </c>
      <c r="E25" s="21" t="n">
        <f aca="false">IF(D25="",0,D25*C25)</f>
        <v>0</v>
      </c>
    </row>
    <row r="26" customFormat="false" ht="15" hidden="false" customHeight="false" outlineLevel="0" collapsed="false">
      <c r="A26" s="32"/>
      <c r="B26" s="21" t="str">
        <f aca="false">IF($A26="","",IFERROR(INDEX('OCTMS Risk Map'!$B$4:$B$129,MATCH($A26,'OCTMS Risk Map'!$A$4:$A$129,0)),$B$2))</f>
        <v/>
      </c>
      <c r="C26" s="21" t="str">
        <f aca="false">IF($A26="","",IFERROR(INDEX('OCTMS Risk Map'!$C$4:$C$129,MATCH($A26,'OCTMS Risk Map'!$A$4:$A$129,0)),IF($B$2="H",3,IF($B$2="M",2,1))))</f>
        <v/>
      </c>
      <c r="D26" s="21" t="str">
        <f aca="false">IF($A26="","",IF(COUNTIF(F26:DA26,"&gt;0")&gt;0,1,0))</f>
        <v/>
      </c>
      <c r="E26" s="21" t="n">
        <f aca="false">IF(D26="",0,D26*C26)</f>
        <v>0</v>
      </c>
    </row>
    <row r="27" customFormat="false" ht="15" hidden="false" customHeight="false" outlineLevel="0" collapsed="false">
      <c r="A27" s="32"/>
      <c r="B27" s="21" t="str">
        <f aca="false">IF($A27="","",IFERROR(INDEX('OCTMS Risk Map'!$B$4:$B$129,MATCH($A27,'OCTMS Risk Map'!$A$4:$A$129,0)),$B$2))</f>
        <v/>
      </c>
      <c r="C27" s="21" t="str">
        <f aca="false">IF($A27="","",IFERROR(INDEX('OCTMS Risk Map'!$C$4:$C$129,MATCH($A27,'OCTMS Risk Map'!$A$4:$A$129,0)),IF($B$2="H",3,IF($B$2="M",2,1))))</f>
        <v/>
      </c>
      <c r="D27" s="21" t="str">
        <f aca="false">IF($A27="","",IF(COUNTIF(F27:DA27,"&gt;0")&gt;0,1,0))</f>
        <v/>
      </c>
      <c r="E27" s="21" t="n">
        <f aca="false">IF(D27="",0,D27*C27)</f>
        <v>0</v>
      </c>
    </row>
    <row r="28" customFormat="false" ht="15" hidden="false" customHeight="false" outlineLevel="0" collapsed="false">
      <c r="A28" s="32"/>
      <c r="B28" s="21" t="str">
        <f aca="false">IF($A28="","",IFERROR(INDEX('OCTMS Risk Map'!$B$4:$B$129,MATCH($A28,'OCTMS Risk Map'!$A$4:$A$129,0)),$B$2))</f>
        <v/>
      </c>
      <c r="C28" s="21" t="str">
        <f aca="false">IF($A28="","",IFERROR(INDEX('OCTMS Risk Map'!$C$4:$C$129,MATCH($A28,'OCTMS Risk Map'!$A$4:$A$129,0)),IF($B$2="H",3,IF($B$2="M",2,1))))</f>
        <v/>
      </c>
      <c r="D28" s="21" t="str">
        <f aca="false">IF($A28="","",IF(COUNTIF(F28:DA28,"&gt;0")&gt;0,1,0))</f>
        <v/>
      </c>
      <c r="E28" s="21" t="n">
        <f aca="false">IF(D28="",0,D28*C28)</f>
        <v>0</v>
      </c>
    </row>
    <row r="29" customFormat="false" ht="15" hidden="false" customHeight="false" outlineLevel="0" collapsed="false">
      <c r="A29" s="32"/>
      <c r="B29" s="21" t="str">
        <f aca="false">IF($A29="","",IFERROR(INDEX('OCTMS Risk Map'!$B$4:$B$129,MATCH($A29,'OCTMS Risk Map'!$A$4:$A$129,0)),$B$2))</f>
        <v/>
      </c>
      <c r="C29" s="21" t="str">
        <f aca="false">IF($A29="","",IFERROR(INDEX('OCTMS Risk Map'!$C$4:$C$129,MATCH($A29,'OCTMS Risk Map'!$A$4:$A$129,0)),IF($B$2="H",3,IF($B$2="M",2,1))))</f>
        <v/>
      </c>
      <c r="D29" s="21" t="str">
        <f aca="false">IF($A29="","",IF(COUNTIF(F29:DA29,"&gt;0")&gt;0,1,0))</f>
        <v/>
      </c>
      <c r="E29" s="21" t="n">
        <f aca="false">IF(D29="",0,D29*C29)</f>
        <v>0</v>
      </c>
    </row>
    <row r="30" customFormat="false" ht="15" hidden="false" customHeight="false" outlineLevel="0" collapsed="false">
      <c r="A30" s="32"/>
      <c r="B30" s="21" t="str">
        <f aca="false">IF($A30="","",IFERROR(INDEX('OCTMS Risk Map'!$B$4:$B$129,MATCH($A30,'OCTMS Risk Map'!$A$4:$A$129,0)),$B$2))</f>
        <v/>
      </c>
      <c r="C30" s="21" t="str">
        <f aca="false">IF($A30="","",IFERROR(INDEX('OCTMS Risk Map'!$C$4:$C$129,MATCH($A30,'OCTMS Risk Map'!$A$4:$A$129,0)),IF($B$2="H",3,IF($B$2="M",2,1))))</f>
        <v/>
      </c>
      <c r="D30" s="21" t="str">
        <f aca="false">IF($A30="","",IF(COUNTIF(F30:DA30,"&gt;0")&gt;0,1,0))</f>
        <v/>
      </c>
      <c r="E30" s="21" t="n">
        <f aca="false">IF(D30="",0,D30*C30)</f>
        <v>0</v>
      </c>
    </row>
    <row r="31" customFormat="false" ht="15" hidden="false" customHeight="false" outlineLevel="0" collapsed="false">
      <c r="A31" s="32"/>
      <c r="B31" s="21" t="str">
        <f aca="false">IF($A31="","",IFERROR(INDEX('OCTMS Risk Map'!$B$4:$B$129,MATCH($A31,'OCTMS Risk Map'!$A$4:$A$129,0)),$B$2))</f>
        <v/>
      </c>
      <c r="C31" s="21" t="str">
        <f aca="false">IF($A31="","",IFERROR(INDEX('OCTMS Risk Map'!$C$4:$C$129,MATCH($A31,'OCTMS Risk Map'!$A$4:$A$129,0)),IF($B$2="H",3,IF($B$2="M",2,1))))</f>
        <v/>
      </c>
      <c r="D31" s="21" t="str">
        <f aca="false">IF($A31="","",IF(COUNTIF(F31:DA31,"&gt;0")&gt;0,1,0))</f>
        <v/>
      </c>
      <c r="E31" s="21" t="n">
        <f aca="false">IF(D31="",0,D31*C31)</f>
        <v>0</v>
      </c>
    </row>
    <row r="32" customFormat="false" ht="15" hidden="false" customHeight="false" outlineLevel="0" collapsed="false">
      <c r="A32" s="32"/>
      <c r="B32" s="21" t="str">
        <f aca="false">IF($A32="","",IFERROR(INDEX('OCTMS Risk Map'!$B$4:$B$129,MATCH($A32,'OCTMS Risk Map'!$A$4:$A$129,0)),$B$2))</f>
        <v/>
      </c>
      <c r="C32" s="21" t="str">
        <f aca="false">IF($A32="","",IFERROR(INDEX('OCTMS Risk Map'!$C$4:$C$129,MATCH($A32,'OCTMS Risk Map'!$A$4:$A$129,0)),IF($B$2="H",3,IF($B$2="M",2,1))))</f>
        <v/>
      </c>
      <c r="D32" s="21" t="str">
        <f aca="false">IF($A32="","",IF(COUNTIF(F32:DA32,"&gt;0")&gt;0,1,0))</f>
        <v/>
      </c>
      <c r="E32" s="21" t="n">
        <f aca="false">IF(D32="",0,D32*C32)</f>
        <v>0</v>
      </c>
    </row>
    <row r="33" customFormat="false" ht="15" hidden="false" customHeight="false" outlineLevel="0" collapsed="false">
      <c r="A33" s="32"/>
      <c r="B33" s="21" t="str">
        <f aca="false">IF($A33="","",IFERROR(INDEX('OCTMS Risk Map'!$B$4:$B$129,MATCH($A33,'OCTMS Risk Map'!$A$4:$A$129,0)),$B$2))</f>
        <v/>
      </c>
      <c r="C33" s="21" t="str">
        <f aca="false">IF($A33="","",IFERROR(INDEX('OCTMS Risk Map'!$C$4:$C$129,MATCH($A33,'OCTMS Risk Map'!$A$4:$A$129,0)),IF($B$2="H",3,IF($B$2="M",2,1))))</f>
        <v/>
      </c>
      <c r="D33" s="21" t="str">
        <f aca="false">IF($A33="","",IF(COUNTIF(F33:DA33,"&gt;0")&gt;0,1,0))</f>
        <v/>
      </c>
      <c r="E33" s="21" t="n">
        <f aca="false">IF(D33="",0,D33*C33)</f>
        <v>0</v>
      </c>
    </row>
    <row r="34" customFormat="false" ht="15" hidden="false" customHeight="false" outlineLevel="0" collapsed="false">
      <c r="A34" s="32"/>
      <c r="B34" s="21" t="str">
        <f aca="false">IF($A34="","",IFERROR(INDEX('OCTMS Risk Map'!$B$4:$B$129,MATCH($A34,'OCTMS Risk Map'!$A$4:$A$129,0)),$B$2))</f>
        <v/>
      </c>
      <c r="C34" s="21" t="str">
        <f aca="false">IF($A34="","",IFERROR(INDEX('OCTMS Risk Map'!$C$4:$C$129,MATCH($A34,'OCTMS Risk Map'!$A$4:$A$129,0)),IF($B$2="H",3,IF($B$2="M",2,1))))</f>
        <v/>
      </c>
      <c r="D34" s="21" t="str">
        <f aca="false">IF($A34="","",IF(COUNTIF(F34:DA34,"&gt;0")&gt;0,1,0))</f>
        <v/>
      </c>
      <c r="E34" s="21" t="n">
        <f aca="false">IF(D34="",0,D34*C34)</f>
        <v>0</v>
      </c>
    </row>
    <row r="35" customFormat="false" ht="15" hidden="false" customHeight="false" outlineLevel="0" collapsed="false">
      <c r="A35" s="32"/>
      <c r="B35" s="21" t="str">
        <f aca="false">IF($A35="","",IFERROR(INDEX('OCTMS Risk Map'!$B$4:$B$129,MATCH($A35,'OCTMS Risk Map'!$A$4:$A$129,0)),$B$2))</f>
        <v/>
      </c>
      <c r="C35" s="21" t="str">
        <f aca="false">IF($A35="","",IFERROR(INDEX('OCTMS Risk Map'!$C$4:$C$129,MATCH($A35,'OCTMS Risk Map'!$A$4:$A$129,0)),IF($B$2="H",3,IF($B$2="M",2,1))))</f>
        <v/>
      </c>
      <c r="D35" s="21" t="str">
        <f aca="false">IF($A35="","",IF(COUNTIF(F35:DA35,"&gt;0")&gt;0,1,0))</f>
        <v/>
      </c>
      <c r="E35" s="21" t="n">
        <f aca="false">IF(D35="",0,D35*C35)</f>
        <v>0</v>
      </c>
    </row>
    <row r="36" customFormat="false" ht="15" hidden="false" customHeight="false" outlineLevel="0" collapsed="false">
      <c r="A36" s="32"/>
      <c r="B36" s="21" t="str">
        <f aca="false">IF($A36="","",IFERROR(INDEX('OCTMS Risk Map'!$B$4:$B$129,MATCH($A36,'OCTMS Risk Map'!$A$4:$A$129,0)),$B$2))</f>
        <v/>
      </c>
      <c r="C36" s="21" t="str">
        <f aca="false">IF($A36="","",IFERROR(INDEX('OCTMS Risk Map'!$C$4:$C$129,MATCH($A36,'OCTMS Risk Map'!$A$4:$A$129,0)),IF($B$2="H",3,IF($B$2="M",2,1))))</f>
        <v/>
      </c>
      <c r="D36" s="21" t="str">
        <f aca="false">IF($A36="","",IF(COUNTIF(F36:DA36,"&gt;0")&gt;0,1,0))</f>
        <v/>
      </c>
      <c r="E36" s="21" t="n">
        <f aca="false">IF(D36="",0,D36*C36)</f>
        <v>0</v>
      </c>
    </row>
    <row r="37" customFormat="false" ht="15" hidden="false" customHeight="false" outlineLevel="0" collapsed="false">
      <c r="A37" s="32"/>
      <c r="B37" s="21" t="str">
        <f aca="false">IF($A37="","",IFERROR(INDEX('OCTMS Risk Map'!$B$4:$B$129,MATCH($A37,'OCTMS Risk Map'!$A$4:$A$129,0)),$B$2))</f>
        <v/>
      </c>
      <c r="C37" s="21" t="str">
        <f aca="false">IF($A37="","",IFERROR(INDEX('OCTMS Risk Map'!$C$4:$C$129,MATCH($A37,'OCTMS Risk Map'!$A$4:$A$129,0)),IF($B$2="H",3,IF($B$2="M",2,1))))</f>
        <v/>
      </c>
      <c r="D37" s="21" t="str">
        <f aca="false">IF($A37="","",IF(COUNTIF(F37:DA37,"&gt;0")&gt;0,1,0))</f>
        <v/>
      </c>
      <c r="E37" s="21" t="n">
        <f aca="false">IF(D37="",0,D37*C37)</f>
        <v>0</v>
      </c>
    </row>
    <row r="38" customFormat="false" ht="15" hidden="false" customHeight="false" outlineLevel="0" collapsed="false">
      <c r="A38" s="32"/>
      <c r="B38" s="21" t="str">
        <f aca="false">IF($A38="","",IFERROR(INDEX('OCTMS Risk Map'!$B$4:$B$129,MATCH($A38,'OCTMS Risk Map'!$A$4:$A$129,0)),$B$2))</f>
        <v/>
      </c>
      <c r="C38" s="21" t="str">
        <f aca="false">IF($A38="","",IFERROR(INDEX('OCTMS Risk Map'!$C$4:$C$129,MATCH($A38,'OCTMS Risk Map'!$A$4:$A$129,0)),IF($B$2="H",3,IF($B$2="M",2,1))))</f>
        <v/>
      </c>
      <c r="D38" s="21" t="str">
        <f aca="false">IF($A38="","",IF(COUNTIF(F38:DA38,"&gt;0")&gt;0,1,0))</f>
        <v/>
      </c>
      <c r="E38" s="21" t="n">
        <f aca="false">IF(D38="",0,D38*C38)</f>
        <v>0</v>
      </c>
    </row>
    <row r="39" customFormat="false" ht="15" hidden="false" customHeight="false" outlineLevel="0" collapsed="false">
      <c r="A39" s="32"/>
      <c r="B39" s="21" t="str">
        <f aca="false">IF($A39="","",IFERROR(INDEX('OCTMS Risk Map'!$B$4:$B$129,MATCH($A39,'OCTMS Risk Map'!$A$4:$A$129,0)),$B$2))</f>
        <v/>
      </c>
      <c r="C39" s="21" t="str">
        <f aca="false">IF($A39="","",IFERROR(INDEX('OCTMS Risk Map'!$C$4:$C$129,MATCH($A39,'OCTMS Risk Map'!$A$4:$A$129,0)),IF($B$2="H",3,IF($B$2="M",2,1))))</f>
        <v/>
      </c>
      <c r="D39" s="21" t="str">
        <f aca="false">IF($A39="","",IF(COUNTIF(F39:DA39,"&gt;0")&gt;0,1,0))</f>
        <v/>
      </c>
      <c r="E39" s="21" t="n">
        <f aca="false">IF(D39="",0,D39*C39)</f>
        <v>0</v>
      </c>
    </row>
    <row r="40" customFormat="false" ht="15" hidden="false" customHeight="false" outlineLevel="0" collapsed="false">
      <c r="A40" s="32"/>
      <c r="B40" s="21" t="str">
        <f aca="false">IF($A40="","",IFERROR(INDEX('OCTMS Risk Map'!$B$4:$B$129,MATCH($A40,'OCTMS Risk Map'!$A$4:$A$129,0)),$B$2))</f>
        <v/>
      </c>
      <c r="C40" s="21" t="str">
        <f aca="false">IF($A40="","",IFERROR(INDEX('OCTMS Risk Map'!$C$4:$C$129,MATCH($A40,'OCTMS Risk Map'!$A$4:$A$129,0)),IF($B$2="H",3,IF($B$2="M",2,1))))</f>
        <v/>
      </c>
      <c r="D40" s="21" t="str">
        <f aca="false">IF($A40="","",IF(COUNTIF(F40:DA40,"&gt;0")&gt;0,1,0))</f>
        <v/>
      </c>
      <c r="E40" s="21" t="n">
        <f aca="false">IF(D40="",0,D40*C40)</f>
        <v>0</v>
      </c>
    </row>
    <row r="41" customFormat="false" ht="15" hidden="false" customHeight="false" outlineLevel="0" collapsed="false">
      <c r="A41" s="32"/>
      <c r="B41" s="21" t="str">
        <f aca="false">IF($A41="","",IFERROR(INDEX('OCTMS Risk Map'!$B$4:$B$129,MATCH($A41,'OCTMS Risk Map'!$A$4:$A$129,0)),$B$2))</f>
        <v/>
      </c>
      <c r="C41" s="21" t="str">
        <f aca="false">IF($A41="","",IFERROR(INDEX('OCTMS Risk Map'!$C$4:$C$129,MATCH($A41,'OCTMS Risk Map'!$A$4:$A$129,0)),IF($B$2="H",3,IF($B$2="M",2,1))))</f>
        <v/>
      </c>
      <c r="D41" s="21" t="str">
        <f aca="false">IF($A41="","",IF(COUNTIF(F41:DA41,"&gt;0")&gt;0,1,0))</f>
        <v/>
      </c>
      <c r="E41" s="21" t="n">
        <f aca="false">IF(D41="",0,D41*C41)</f>
        <v>0</v>
      </c>
    </row>
    <row r="42" customFormat="false" ht="15" hidden="false" customHeight="false" outlineLevel="0" collapsed="false">
      <c r="A42" s="32"/>
      <c r="B42" s="21" t="str">
        <f aca="false">IF($A42="","",IFERROR(INDEX('OCTMS Risk Map'!$B$4:$B$129,MATCH($A42,'OCTMS Risk Map'!$A$4:$A$129,0)),$B$2))</f>
        <v/>
      </c>
      <c r="C42" s="21" t="str">
        <f aca="false">IF($A42="","",IFERROR(INDEX('OCTMS Risk Map'!$C$4:$C$129,MATCH($A42,'OCTMS Risk Map'!$A$4:$A$129,0)),IF($B$2="H",3,IF($B$2="M",2,1))))</f>
        <v/>
      </c>
      <c r="D42" s="21" t="str">
        <f aca="false">IF($A42="","",IF(COUNTIF(F42:DA42,"&gt;0")&gt;0,1,0))</f>
        <v/>
      </c>
      <c r="E42" s="21" t="n">
        <f aca="false">IF(D42="",0,D42*C42)</f>
        <v>0</v>
      </c>
    </row>
    <row r="43" customFormat="false" ht="15" hidden="false" customHeight="false" outlineLevel="0" collapsed="false">
      <c r="A43" s="32"/>
      <c r="B43" s="21" t="str">
        <f aca="false">IF($A43="","",IFERROR(INDEX('OCTMS Risk Map'!$B$4:$B$129,MATCH($A43,'OCTMS Risk Map'!$A$4:$A$129,0)),$B$2))</f>
        <v/>
      </c>
      <c r="C43" s="21" t="str">
        <f aca="false">IF($A43="","",IFERROR(INDEX('OCTMS Risk Map'!$C$4:$C$129,MATCH($A43,'OCTMS Risk Map'!$A$4:$A$129,0)),IF($B$2="H",3,IF($B$2="M",2,1))))</f>
        <v/>
      </c>
      <c r="D43" s="21" t="str">
        <f aca="false">IF($A43="","",IF(COUNTIF(F43:DA43,"&gt;0")&gt;0,1,0))</f>
        <v/>
      </c>
      <c r="E43" s="21" t="n">
        <f aca="false">IF(D43="",0,D43*C43)</f>
        <v>0</v>
      </c>
    </row>
    <row r="44" customFormat="false" ht="15" hidden="false" customHeight="false" outlineLevel="0" collapsed="false">
      <c r="A44" s="32"/>
      <c r="B44" s="21" t="str">
        <f aca="false">IF($A44="","",IFERROR(INDEX('OCTMS Risk Map'!$B$4:$B$129,MATCH($A44,'OCTMS Risk Map'!$A$4:$A$129,0)),$B$2))</f>
        <v/>
      </c>
      <c r="C44" s="21" t="str">
        <f aca="false">IF($A44="","",IFERROR(INDEX('OCTMS Risk Map'!$C$4:$C$129,MATCH($A44,'OCTMS Risk Map'!$A$4:$A$129,0)),IF($B$2="H",3,IF($B$2="M",2,1))))</f>
        <v/>
      </c>
      <c r="D44" s="21" t="str">
        <f aca="false">IF($A44="","",IF(COUNTIF(F44:DA44,"&gt;0")&gt;0,1,0))</f>
        <v/>
      </c>
      <c r="E44" s="21" t="n">
        <f aca="false">IF(D44="",0,D44*C44)</f>
        <v>0</v>
      </c>
    </row>
    <row r="45" customFormat="false" ht="15" hidden="false" customHeight="false" outlineLevel="0" collapsed="false">
      <c r="A45" s="32"/>
      <c r="B45" s="21" t="str">
        <f aca="false">IF($A45="","",IFERROR(INDEX('OCTMS Risk Map'!$B$4:$B$129,MATCH($A45,'OCTMS Risk Map'!$A$4:$A$129,0)),$B$2))</f>
        <v/>
      </c>
      <c r="C45" s="21" t="str">
        <f aca="false">IF($A45="","",IFERROR(INDEX('OCTMS Risk Map'!$C$4:$C$129,MATCH($A45,'OCTMS Risk Map'!$A$4:$A$129,0)),IF($B$2="H",3,IF($B$2="M",2,1))))</f>
        <v/>
      </c>
      <c r="D45" s="21" t="str">
        <f aca="false">IF($A45="","",IF(COUNTIF(F45:DA45,"&gt;0")&gt;0,1,0))</f>
        <v/>
      </c>
      <c r="E45" s="21" t="n">
        <f aca="false">IF(D45="",0,D45*C45)</f>
        <v>0</v>
      </c>
    </row>
    <row r="46" customFormat="false" ht="15" hidden="false" customHeight="false" outlineLevel="0" collapsed="false">
      <c r="A46" s="32"/>
      <c r="B46" s="21" t="str">
        <f aca="false">IF($A46="","",IFERROR(INDEX('OCTMS Risk Map'!$B$4:$B$129,MATCH($A46,'OCTMS Risk Map'!$A$4:$A$129,0)),$B$2))</f>
        <v/>
      </c>
      <c r="C46" s="21" t="str">
        <f aca="false">IF($A46="","",IFERROR(INDEX('OCTMS Risk Map'!$C$4:$C$129,MATCH($A46,'OCTMS Risk Map'!$A$4:$A$129,0)),IF($B$2="H",3,IF($B$2="M",2,1))))</f>
        <v/>
      </c>
      <c r="D46" s="21" t="str">
        <f aca="false">IF($A46="","",IF(COUNTIF(F46:DA46,"&gt;0")&gt;0,1,0))</f>
        <v/>
      </c>
      <c r="E46" s="21" t="n">
        <f aca="false">IF(D46="",0,D46*C46)</f>
        <v>0</v>
      </c>
    </row>
    <row r="47" customFormat="false" ht="15" hidden="false" customHeight="false" outlineLevel="0" collapsed="false">
      <c r="A47" s="32"/>
      <c r="B47" s="21" t="str">
        <f aca="false">IF($A47="","",IFERROR(INDEX('OCTMS Risk Map'!$B$4:$B$129,MATCH($A47,'OCTMS Risk Map'!$A$4:$A$129,0)),$B$2))</f>
        <v/>
      </c>
      <c r="C47" s="21" t="str">
        <f aca="false">IF($A47="","",IFERROR(INDEX('OCTMS Risk Map'!$C$4:$C$129,MATCH($A47,'OCTMS Risk Map'!$A$4:$A$129,0)),IF($B$2="H",3,IF($B$2="M",2,1))))</f>
        <v/>
      </c>
      <c r="D47" s="21" t="str">
        <f aca="false">IF($A47="","",IF(COUNTIF(F47:DA47,"&gt;0")&gt;0,1,0))</f>
        <v/>
      </c>
      <c r="E47" s="21" t="n">
        <f aca="false">IF(D47="",0,D47*C47)</f>
        <v>0</v>
      </c>
    </row>
    <row r="48" customFormat="false" ht="15" hidden="false" customHeight="false" outlineLevel="0" collapsed="false">
      <c r="A48" s="32"/>
      <c r="B48" s="21" t="str">
        <f aca="false">IF($A48="","",IFERROR(INDEX('OCTMS Risk Map'!$B$4:$B$129,MATCH($A48,'OCTMS Risk Map'!$A$4:$A$129,0)),$B$2))</f>
        <v/>
      </c>
      <c r="C48" s="21" t="str">
        <f aca="false">IF($A48="","",IFERROR(INDEX('OCTMS Risk Map'!$C$4:$C$129,MATCH($A48,'OCTMS Risk Map'!$A$4:$A$129,0)),IF($B$2="H",3,IF($B$2="M",2,1))))</f>
        <v/>
      </c>
      <c r="D48" s="21" t="str">
        <f aca="false">IF($A48="","",IF(COUNTIF(F48:DA48,"&gt;0")&gt;0,1,0))</f>
        <v/>
      </c>
      <c r="E48" s="21" t="n">
        <f aca="false">IF(D48="",0,D48*C48)</f>
        <v>0</v>
      </c>
    </row>
    <row r="49" customFormat="false" ht="15" hidden="false" customHeight="false" outlineLevel="0" collapsed="false">
      <c r="A49" s="32"/>
      <c r="B49" s="21" t="str">
        <f aca="false">IF($A49="","",IFERROR(INDEX('OCTMS Risk Map'!$B$4:$B$129,MATCH($A49,'OCTMS Risk Map'!$A$4:$A$129,0)),$B$2))</f>
        <v/>
      </c>
      <c r="C49" s="21" t="str">
        <f aca="false">IF($A49="","",IFERROR(INDEX('OCTMS Risk Map'!$C$4:$C$129,MATCH($A49,'OCTMS Risk Map'!$A$4:$A$129,0)),IF($B$2="H",3,IF($B$2="M",2,1))))</f>
        <v/>
      </c>
      <c r="D49" s="21" t="str">
        <f aca="false">IF($A49="","",IF(COUNTIF(F49:DA49,"&gt;0")&gt;0,1,0))</f>
        <v/>
      </c>
      <c r="E49" s="21" t="n">
        <f aca="false">IF(D49="",0,D49*C49)</f>
        <v>0</v>
      </c>
    </row>
    <row r="50" customFormat="false" ht="15" hidden="false" customHeight="false" outlineLevel="0" collapsed="false">
      <c r="A50" s="32"/>
      <c r="B50" s="21" t="str">
        <f aca="false">IF($A50="","",IFERROR(INDEX('OCTMS Risk Map'!$B$4:$B$129,MATCH($A50,'OCTMS Risk Map'!$A$4:$A$129,0)),$B$2))</f>
        <v/>
      </c>
      <c r="C50" s="21" t="str">
        <f aca="false">IF($A50="","",IFERROR(INDEX('OCTMS Risk Map'!$C$4:$C$129,MATCH($A50,'OCTMS Risk Map'!$A$4:$A$129,0)),IF($B$2="H",3,IF($B$2="M",2,1))))</f>
        <v/>
      </c>
      <c r="D50" s="21" t="str">
        <f aca="false">IF($A50="","",IF(COUNTIF(F50:DA50,"&gt;0")&gt;0,1,0))</f>
        <v/>
      </c>
      <c r="E50" s="21" t="n">
        <f aca="false">IF(D50="",0,D50*C50)</f>
        <v>0</v>
      </c>
    </row>
    <row r="51" customFormat="false" ht="15" hidden="false" customHeight="false" outlineLevel="0" collapsed="false">
      <c r="A51" s="32"/>
      <c r="B51" s="21" t="str">
        <f aca="false">IF($A51="","",IFERROR(INDEX('OCTMS Risk Map'!$B$4:$B$129,MATCH($A51,'OCTMS Risk Map'!$A$4:$A$129,0)),$B$2))</f>
        <v/>
      </c>
      <c r="C51" s="21" t="str">
        <f aca="false">IF($A51="","",IFERROR(INDEX('OCTMS Risk Map'!$C$4:$C$129,MATCH($A51,'OCTMS Risk Map'!$A$4:$A$129,0)),IF($B$2="H",3,IF($B$2="M",2,1))))</f>
        <v/>
      </c>
      <c r="D51" s="21" t="str">
        <f aca="false">IF($A51="","",IF(COUNTIF(F51:DA51,"&gt;0")&gt;0,1,0))</f>
        <v/>
      </c>
      <c r="E51" s="21" t="n">
        <f aca="false">IF(D51="",0,D51*C51)</f>
        <v>0</v>
      </c>
    </row>
    <row r="52" customFormat="false" ht="15" hidden="false" customHeight="false" outlineLevel="0" collapsed="false">
      <c r="A52" s="32"/>
      <c r="B52" s="21" t="str">
        <f aca="false">IF($A52="","",IFERROR(INDEX('OCTMS Risk Map'!$B$4:$B$129,MATCH($A52,'OCTMS Risk Map'!$A$4:$A$129,0)),$B$2))</f>
        <v/>
      </c>
      <c r="C52" s="21" t="str">
        <f aca="false">IF($A52="","",IFERROR(INDEX('OCTMS Risk Map'!$C$4:$C$129,MATCH($A52,'OCTMS Risk Map'!$A$4:$A$129,0)),IF($B$2="H",3,IF($B$2="M",2,1))))</f>
        <v/>
      </c>
      <c r="D52" s="21" t="str">
        <f aca="false">IF($A52="","",IF(COUNTIF(F52:DA52,"&gt;0")&gt;0,1,0))</f>
        <v/>
      </c>
      <c r="E52" s="21" t="n">
        <f aca="false">IF(D52="",0,D52*C52)</f>
        <v>0</v>
      </c>
    </row>
    <row r="53" customFormat="false" ht="15" hidden="false" customHeight="false" outlineLevel="0" collapsed="false">
      <c r="A53" s="32"/>
      <c r="B53" s="21" t="str">
        <f aca="false">IF($A53="","",IFERROR(INDEX('OCTMS Risk Map'!$B$4:$B$129,MATCH($A53,'OCTMS Risk Map'!$A$4:$A$129,0)),$B$2))</f>
        <v/>
      </c>
      <c r="C53" s="21" t="str">
        <f aca="false">IF($A53="","",IFERROR(INDEX('OCTMS Risk Map'!$C$4:$C$129,MATCH($A53,'OCTMS Risk Map'!$A$4:$A$129,0)),IF($B$2="H",3,IF($B$2="M",2,1))))</f>
        <v/>
      </c>
      <c r="D53" s="21" t="str">
        <f aca="false">IF($A53="","",IF(COUNTIF(F53:DA53,"&gt;0")&gt;0,1,0))</f>
        <v/>
      </c>
      <c r="E53" s="21" t="n">
        <f aca="false">IF(D53="",0,D53*C53)</f>
        <v>0</v>
      </c>
    </row>
    <row r="54" customFormat="false" ht="15" hidden="false" customHeight="false" outlineLevel="0" collapsed="false">
      <c r="A54" s="32"/>
      <c r="B54" s="21" t="str">
        <f aca="false">IF($A54="","",IFERROR(INDEX('OCTMS Risk Map'!$B$4:$B$129,MATCH($A54,'OCTMS Risk Map'!$A$4:$A$129,0)),$B$2))</f>
        <v/>
      </c>
      <c r="C54" s="21" t="str">
        <f aca="false">IF($A54="","",IFERROR(INDEX('OCTMS Risk Map'!$C$4:$C$129,MATCH($A54,'OCTMS Risk Map'!$A$4:$A$129,0)),IF($B$2="H",3,IF($B$2="M",2,1))))</f>
        <v/>
      </c>
      <c r="D54" s="21" t="str">
        <f aca="false">IF($A54="","",IF(COUNTIF(F54:DA54,"&gt;0")&gt;0,1,0))</f>
        <v/>
      </c>
      <c r="E54" s="21" t="n">
        <f aca="false">IF(D54="",0,D54*C54)</f>
        <v>0</v>
      </c>
    </row>
    <row r="55" customFormat="false" ht="15" hidden="false" customHeight="false" outlineLevel="0" collapsed="false">
      <c r="A55" s="32"/>
      <c r="B55" s="21" t="str">
        <f aca="false">IF($A55="","",IFERROR(INDEX('OCTMS Risk Map'!$B$4:$B$129,MATCH($A55,'OCTMS Risk Map'!$A$4:$A$129,0)),$B$2))</f>
        <v/>
      </c>
      <c r="C55" s="21" t="str">
        <f aca="false">IF($A55="","",IFERROR(INDEX('OCTMS Risk Map'!$C$4:$C$129,MATCH($A55,'OCTMS Risk Map'!$A$4:$A$129,0)),IF($B$2="H",3,IF($B$2="M",2,1))))</f>
        <v/>
      </c>
      <c r="D55" s="21" t="str">
        <f aca="false">IF($A55="","",IF(COUNTIF(F55:DA55,"&gt;0")&gt;0,1,0))</f>
        <v/>
      </c>
      <c r="E55" s="21" t="n">
        <f aca="false">IF(D55="",0,D55*C55)</f>
        <v>0</v>
      </c>
    </row>
    <row r="56" customFormat="false" ht="15" hidden="false" customHeight="false" outlineLevel="0" collapsed="false">
      <c r="A56" s="32"/>
      <c r="B56" s="21" t="str">
        <f aca="false">IF($A56="","",IFERROR(INDEX('OCTMS Risk Map'!$B$4:$B$129,MATCH($A56,'OCTMS Risk Map'!$A$4:$A$129,0)),$B$2))</f>
        <v/>
      </c>
      <c r="C56" s="21" t="str">
        <f aca="false">IF($A56="","",IFERROR(INDEX('OCTMS Risk Map'!$C$4:$C$129,MATCH($A56,'OCTMS Risk Map'!$A$4:$A$129,0)),IF($B$2="H",3,IF($B$2="M",2,1))))</f>
        <v/>
      </c>
      <c r="D56" s="21" t="str">
        <f aca="false">IF($A56="","",IF(COUNTIF(F56:DA56,"&gt;0")&gt;0,1,0))</f>
        <v/>
      </c>
      <c r="E56" s="21" t="n">
        <f aca="false">IF(D56="",0,D56*C56)</f>
        <v>0</v>
      </c>
    </row>
    <row r="57" customFormat="false" ht="15" hidden="false" customHeight="false" outlineLevel="0" collapsed="false">
      <c r="A57" s="32"/>
      <c r="B57" s="21" t="str">
        <f aca="false">IF($A57="","",IFERROR(INDEX('OCTMS Risk Map'!$B$4:$B$129,MATCH($A57,'OCTMS Risk Map'!$A$4:$A$129,0)),$B$2))</f>
        <v/>
      </c>
      <c r="C57" s="21" t="str">
        <f aca="false">IF($A57="","",IFERROR(INDEX('OCTMS Risk Map'!$C$4:$C$129,MATCH($A57,'OCTMS Risk Map'!$A$4:$A$129,0)),IF($B$2="H",3,IF($B$2="M",2,1))))</f>
        <v/>
      </c>
      <c r="D57" s="21" t="str">
        <f aca="false">IF($A57="","",IF(COUNTIF(F57:DA57,"&gt;0")&gt;0,1,0))</f>
        <v/>
      </c>
      <c r="E57" s="21" t="n">
        <f aca="false">IF(D57="",0,D57*C57)</f>
        <v>0</v>
      </c>
    </row>
    <row r="58" customFormat="false" ht="15" hidden="false" customHeight="false" outlineLevel="0" collapsed="false">
      <c r="A58" s="32"/>
      <c r="B58" s="21" t="str">
        <f aca="false">IF($A58="","",IFERROR(INDEX('OCTMS Risk Map'!$B$4:$B$129,MATCH($A58,'OCTMS Risk Map'!$A$4:$A$129,0)),$B$2))</f>
        <v/>
      </c>
      <c r="C58" s="21" t="str">
        <f aca="false">IF($A58="","",IFERROR(INDEX('OCTMS Risk Map'!$C$4:$C$129,MATCH($A58,'OCTMS Risk Map'!$A$4:$A$129,0)),IF($B$2="H",3,IF($B$2="M",2,1))))</f>
        <v/>
      </c>
      <c r="D58" s="21" t="str">
        <f aca="false">IF($A58="","",IF(COUNTIF(F58:DA58,"&gt;0")&gt;0,1,0))</f>
        <v/>
      </c>
      <c r="E58" s="21" t="n">
        <f aca="false">IF(D58="",0,D58*C58)</f>
        <v>0</v>
      </c>
    </row>
    <row r="59" customFormat="false" ht="15" hidden="false" customHeight="false" outlineLevel="0" collapsed="false">
      <c r="A59" s="32"/>
      <c r="B59" s="21" t="str">
        <f aca="false">IF($A59="","",IFERROR(INDEX('OCTMS Risk Map'!$B$4:$B$129,MATCH($A59,'OCTMS Risk Map'!$A$4:$A$129,0)),$B$2))</f>
        <v/>
      </c>
      <c r="C59" s="21" t="str">
        <f aca="false">IF($A59="","",IFERROR(INDEX('OCTMS Risk Map'!$C$4:$C$129,MATCH($A59,'OCTMS Risk Map'!$A$4:$A$129,0)),IF($B$2="H",3,IF($B$2="M",2,1))))</f>
        <v/>
      </c>
      <c r="D59" s="21" t="str">
        <f aca="false">IF($A59="","",IF(COUNTIF(F59:DA59,"&gt;0")&gt;0,1,0))</f>
        <v/>
      </c>
      <c r="E59" s="21" t="n">
        <f aca="false">IF(D59="",0,D59*C59)</f>
        <v>0</v>
      </c>
    </row>
    <row r="60" customFormat="false" ht="15" hidden="false" customHeight="false" outlineLevel="0" collapsed="false">
      <c r="A60" s="32"/>
      <c r="B60" s="21" t="str">
        <f aca="false">IF($A60="","",IFERROR(INDEX('OCTMS Risk Map'!$B$4:$B$129,MATCH($A60,'OCTMS Risk Map'!$A$4:$A$129,0)),$B$2))</f>
        <v/>
      </c>
      <c r="C60" s="21" t="str">
        <f aca="false">IF($A60="","",IFERROR(INDEX('OCTMS Risk Map'!$C$4:$C$129,MATCH($A60,'OCTMS Risk Map'!$A$4:$A$129,0)),IF($B$2="H",3,IF($B$2="M",2,1))))</f>
        <v/>
      </c>
      <c r="D60" s="21" t="str">
        <f aca="false">IF($A60="","",IF(COUNTIF(F60:DA60,"&gt;0")&gt;0,1,0))</f>
        <v/>
      </c>
      <c r="E60" s="21" t="n">
        <f aca="false">IF(D60="",0,D60*C60)</f>
        <v>0</v>
      </c>
    </row>
    <row r="61" customFormat="false" ht="15" hidden="false" customHeight="false" outlineLevel="0" collapsed="false">
      <c r="A61" s="32"/>
      <c r="B61" s="21" t="str">
        <f aca="false">IF($A61="","",IFERROR(INDEX('OCTMS Risk Map'!$B$4:$B$129,MATCH($A61,'OCTMS Risk Map'!$A$4:$A$129,0)),$B$2))</f>
        <v/>
      </c>
      <c r="C61" s="21" t="str">
        <f aca="false">IF($A61="","",IFERROR(INDEX('OCTMS Risk Map'!$C$4:$C$129,MATCH($A61,'OCTMS Risk Map'!$A$4:$A$129,0)),IF($B$2="H",3,IF($B$2="M",2,1))))</f>
        <v/>
      </c>
      <c r="D61" s="21" t="str">
        <f aca="false">IF($A61="","",IF(COUNTIF(F61:DA61,"&gt;0")&gt;0,1,0))</f>
        <v/>
      </c>
      <c r="E61" s="21" t="n">
        <f aca="false">IF(D61="",0,D61*C61)</f>
        <v>0</v>
      </c>
    </row>
    <row r="62" customFormat="false" ht="15" hidden="false" customHeight="false" outlineLevel="0" collapsed="false">
      <c r="A62" s="32"/>
      <c r="B62" s="21" t="str">
        <f aca="false">IF($A62="","",IFERROR(INDEX('OCTMS Risk Map'!$B$4:$B$129,MATCH($A62,'OCTMS Risk Map'!$A$4:$A$129,0)),$B$2))</f>
        <v/>
      </c>
      <c r="C62" s="21" t="str">
        <f aca="false">IF($A62="","",IFERROR(INDEX('OCTMS Risk Map'!$C$4:$C$129,MATCH($A62,'OCTMS Risk Map'!$A$4:$A$129,0)),IF($B$2="H",3,IF($B$2="M",2,1))))</f>
        <v/>
      </c>
      <c r="D62" s="21" t="str">
        <f aca="false">IF($A62="","",IF(COUNTIF(F62:DA62,"&gt;0")&gt;0,1,0))</f>
        <v/>
      </c>
      <c r="E62" s="21" t="n">
        <f aca="false">IF(D62="",0,D62*C62)</f>
        <v>0</v>
      </c>
    </row>
    <row r="63" customFormat="false" ht="15" hidden="false" customHeight="false" outlineLevel="0" collapsed="false">
      <c r="A63" s="32"/>
      <c r="B63" s="21" t="str">
        <f aca="false">IF($A63="","",IFERROR(INDEX('OCTMS Risk Map'!$B$4:$B$129,MATCH($A63,'OCTMS Risk Map'!$A$4:$A$129,0)),$B$2))</f>
        <v/>
      </c>
      <c r="C63" s="21" t="str">
        <f aca="false">IF($A63="","",IFERROR(INDEX('OCTMS Risk Map'!$C$4:$C$129,MATCH($A63,'OCTMS Risk Map'!$A$4:$A$129,0)),IF($B$2="H",3,IF($B$2="M",2,1))))</f>
        <v/>
      </c>
      <c r="D63" s="21" t="str">
        <f aca="false">IF($A63="","",IF(COUNTIF(F63:DA63,"&gt;0")&gt;0,1,0))</f>
        <v/>
      </c>
      <c r="E63" s="21" t="n">
        <f aca="false">IF(D63="",0,D63*C63)</f>
        <v>0</v>
      </c>
    </row>
    <row r="64" customFormat="false" ht="15" hidden="false" customHeight="false" outlineLevel="0" collapsed="false">
      <c r="A64" s="32"/>
      <c r="B64" s="21" t="str">
        <f aca="false">IF($A64="","",IFERROR(INDEX('OCTMS Risk Map'!$B$4:$B$129,MATCH($A64,'OCTMS Risk Map'!$A$4:$A$129,0)),$B$2))</f>
        <v/>
      </c>
      <c r="C64" s="21" t="str">
        <f aca="false">IF($A64="","",IFERROR(INDEX('OCTMS Risk Map'!$C$4:$C$129,MATCH($A64,'OCTMS Risk Map'!$A$4:$A$129,0)),IF($B$2="H",3,IF($B$2="M",2,1))))</f>
        <v/>
      </c>
      <c r="D64" s="21" t="str">
        <f aca="false">IF($A64="","",IF(COUNTIF(F64:DA64,"&gt;0")&gt;0,1,0))</f>
        <v/>
      </c>
      <c r="E64" s="21" t="n">
        <f aca="false">IF(D64="",0,D64*C64)</f>
        <v>0</v>
      </c>
    </row>
    <row r="65" customFormat="false" ht="15" hidden="false" customHeight="false" outlineLevel="0" collapsed="false">
      <c r="A65" s="32"/>
      <c r="B65" s="21" t="str">
        <f aca="false">IF($A65="","",IFERROR(INDEX('OCTMS Risk Map'!$B$4:$B$129,MATCH($A65,'OCTMS Risk Map'!$A$4:$A$129,0)),$B$2))</f>
        <v/>
      </c>
      <c r="C65" s="21" t="str">
        <f aca="false">IF($A65="","",IFERROR(INDEX('OCTMS Risk Map'!$C$4:$C$129,MATCH($A65,'OCTMS Risk Map'!$A$4:$A$129,0)),IF($B$2="H",3,IF($B$2="M",2,1))))</f>
        <v/>
      </c>
      <c r="D65" s="21" t="str">
        <f aca="false">IF($A65="","",IF(COUNTIF(F65:DA65,"&gt;0")&gt;0,1,0))</f>
        <v/>
      </c>
      <c r="E65" s="21" t="n">
        <f aca="false">IF(D65="",0,D65*C65)</f>
        <v>0</v>
      </c>
    </row>
    <row r="66" customFormat="false" ht="15" hidden="false" customHeight="false" outlineLevel="0" collapsed="false">
      <c r="A66" s="32"/>
      <c r="B66" s="21" t="str">
        <f aca="false">IF($A66="","",IFERROR(INDEX('OCTMS Risk Map'!$B$4:$B$129,MATCH($A66,'OCTMS Risk Map'!$A$4:$A$129,0)),$B$2))</f>
        <v/>
      </c>
      <c r="C66" s="21" t="str">
        <f aca="false">IF($A66="","",IFERROR(INDEX('OCTMS Risk Map'!$C$4:$C$129,MATCH($A66,'OCTMS Risk Map'!$A$4:$A$129,0)),IF($B$2="H",3,IF($B$2="M",2,1))))</f>
        <v/>
      </c>
      <c r="D66" s="21" t="str">
        <f aca="false">IF($A66="","",IF(COUNTIF(F66:DA66,"&gt;0")&gt;0,1,0))</f>
        <v/>
      </c>
      <c r="E66" s="21" t="n">
        <f aca="false">IF(D66="",0,D66*C66)</f>
        <v>0</v>
      </c>
    </row>
    <row r="67" customFormat="false" ht="15" hidden="false" customHeight="false" outlineLevel="0" collapsed="false">
      <c r="A67" s="32"/>
      <c r="B67" s="21" t="str">
        <f aca="false">IF($A67="","",IFERROR(INDEX('OCTMS Risk Map'!$B$4:$B$129,MATCH($A67,'OCTMS Risk Map'!$A$4:$A$129,0)),$B$2))</f>
        <v/>
      </c>
      <c r="C67" s="21" t="str">
        <f aca="false">IF($A67="","",IFERROR(INDEX('OCTMS Risk Map'!$C$4:$C$129,MATCH($A67,'OCTMS Risk Map'!$A$4:$A$129,0)),IF($B$2="H",3,IF($B$2="M",2,1))))</f>
        <v/>
      </c>
      <c r="D67" s="21" t="str">
        <f aca="false">IF($A67="","",IF(COUNTIF(F67:DA67,"&gt;0")&gt;0,1,0))</f>
        <v/>
      </c>
      <c r="E67" s="21" t="n">
        <f aca="false">IF(D67="",0,D67*C67)</f>
        <v>0</v>
      </c>
    </row>
    <row r="68" customFormat="false" ht="15" hidden="false" customHeight="false" outlineLevel="0" collapsed="false">
      <c r="A68" s="32"/>
      <c r="B68" s="21" t="str">
        <f aca="false">IF($A68="","",IFERROR(INDEX('OCTMS Risk Map'!$B$4:$B$129,MATCH($A68,'OCTMS Risk Map'!$A$4:$A$129,0)),$B$2))</f>
        <v/>
      </c>
      <c r="C68" s="21" t="str">
        <f aca="false">IF($A68="","",IFERROR(INDEX('OCTMS Risk Map'!$C$4:$C$129,MATCH($A68,'OCTMS Risk Map'!$A$4:$A$129,0)),IF($B$2="H",3,IF($B$2="M",2,1))))</f>
        <v/>
      </c>
      <c r="D68" s="21" t="str">
        <f aca="false">IF($A68="","",IF(COUNTIF(F68:DA68,"&gt;0")&gt;0,1,0))</f>
        <v/>
      </c>
      <c r="E68" s="21" t="n">
        <f aca="false">IF(D68="",0,D68*C68)</f>
        <v>0</v>
      </c>
    </row>
    <row r="69" customFormat="false" ht="15" hidden="false" customHeight="false" outlineLevel="0" collapsed="false">
      <c r="A69" s="32"/>
      <c r="B69" s="21" t="str">
        <f aca="false">IF($A69="","",IFERROR(INDEX('OCTMS Risk Map'!$B$4:$B$129,MATCH($A69,'OCTMS Risk Map'!$A$4:$A$129,0)),$B$2))</f>
        <v/>
      </c>
      <c r="C69" s="21" t="str">
        <f aca="false">IF($A69="","",IFERROR(INDEX('OCTMS Risk Map'!$C$4:$C$129,MATCH($A69,'OCTMS Risk Map'!$A$4:$A$129,0)),IF($B$2="H",3,IF($B$2="M",2,1))))</f>
        <v/>
      </c>
      <c r="D69" s="21" t="str">
        <f aca="false">IF($A69="","",IF(COUNTIF(F69:DA69,"&gt;0")&gt;0,1,0))</f>
        <v/>
      </c>
      <c r="E69" s="21" t="n">
        <f aca="false">IF(D69="",0,D69*C69)</f>
        <v>0</v>
      </c>
    </row>
    <row r="70" customFormat="false" ht="15" hidden="false" customHeight="false" outlineLevel="0" collapsed="false">
      <c r="A70" s="32"/>
      <c r="B70" s="21" t="str">
        <f aca="false">IF($A70="","",IFERROR(INDEX('OCTMS Risk Map'!$B$4:$B$129,MATCH($A70,'OCTMS Risk Map'!$A$4:$A$129,0)),$B$2))</f>
        <v/>
      </c>
      <c r="C70" s="21" t="str">
        <f aca="false">IF($A70="","",IFERROR(INDEX('OCTMS Risk Map'!$C$4:$C$129,MATCH($A70,'OCTMS Risk Map'!$A$4:$A$129,0)),IF($B$2="H",3,IF($B$2="M",2,1))))</f>
        <v/>
      </c>
      <c r="D70" s="21" t="str">
        <f aca="false">IF($A70="","",IF(COUNTIF(F70:DA70,"&gt;0")&gt;0,1,0))</f>
        <v/>
      </c>
      <c r="E70" s="21" t="n">
        <f aca="false">IF(D70="",0,D70*C70)</f>
        <v>0</v>
      </c>
    </row>
    <row r="71" customFormat="false" ht="15" hidden="false" customHeight="false" outlineLevel="0" collapsed="false">
      <c r="A71" s="32"/>
      <c r="B71" s="21" t="str">
        <f aca="false">IF($A71="","",IFERROR(INDEX('OCTMS Risk Map'!$B$4:$B$129,MATCH($A71,'OCTMS Risk Map'!$A$4:$A$129,0)),$B$2))</f>
        <v/>
      </c>
      <c r="C71" s="21" t="str">
        <f aca="false">IF($A71="","",IFERROR(INDEX('OCTMS Risk Map'!$C$4:$C$129,MATCH($A71,'OCTMS Risk Map'!$A$4:$A$129,0)),IF($B$2="H",3,IF($B$2="M",2,1))))</f>
        <v/>
      </c>
      <c r="D71" s="21" t="str">
        <f aca="false">IF($A71="","",IF(COUNTIF(F71:DA71,"&gt;0")&gt;0,1,0))</f>
        <v/>
      </c>
      <c r="E71" s="21" t="n">
        <f aca="false">IF(D71="",0,D71*C71)</f>
        <v>0</v>
      </c>
    </row>
    <row r="72" customFormat="false" ht="15" hidden="false" customHeight="false" outlineLevel="0" collapsed="false">
      <c r="A72" s="32"/>
      <c r="B72" s="21" t="str">
        <f aca="false">IF($A72="","",IFERROR(INDEX('OCTMS Risk Map'!$B$4:$B$129,MATCH($A72,'OCTMS Risk Map'!$A$4:$A$129,0)),$B$2))</f>
        <v/>
      </c>
      <c r="C72" s="21" t="str">
        <f aca="false">IF($A72="","",IFERROR(INDEX('OCTMS Risk Map'!$C$4:$C$129,MATCH($A72,'OCTMS Risk Map'!$A$4:$A$129,0)),IF($B$2="H",3,IF($B$2="M",2,1))))</f>
        <v/>
      </c>
      <c r="D72" s="21" t="str">
        <f aca="false">IF($A72="","",IF(COUNTIF(F72:DA72,"&gt;0")&gt;0,1,0))</f>
        <v/>
      </c>
      <c r="E72" s="21" t="n">
        <f aca="false">IF(D72="",0,D72*C72)</f>
        <v>0</v>
      </c>
    </row>
    <row r="73" customFormat="false" ht="15" hidden="false" customHeight="false" outlineLevel="0" collapsed="false">
      <c r="A73" s="32"/>
      <c r="B73" s="21" t="str">
        <f aca="false">IF($A73="","",IFERROR(INDEX('OCTMS Risk Map'!$B$4:$B$129,MATCH($A73,'OCTMS Risk Map'!$A$4:$A$129,0)),$B$2))</f>
        <v/>
      </c>
      <c r="C73" s="21" t="str">
        <f aca="false">IF($A73="","",IFERROR(INDEX('OCTMS Risk Map'!$C$4:$C$129,MATCH($A73,'OCTMS Risk Map'!$A$4:$A$129,0)),IF($B$2="H",3,IF($B$2="M",2,1))))</f>
        <v/>
      </c>
      <c r="D73" s="21" t="str">
        <f aca="false">IF($A73="","",IF(COUNTIF(F73:DA73,"&gt;0")&gt;0,1,0))</f>
        <v/>
      </c>
      <c r="E73" s="21" t="n">
        <f aca="false">IF(D73="",0,D73*C73)</f>
        <v>0</v>
      </c>
    </row>
    <row r="74" customFormat="false" ht="15" hidden="false" customHeight="false" outlineLevel="0" collapsed="false">
      <c r="A74" s="32"/>
      <c r="B74" s="21" t="str">
        <f aca="false">IF($A74="","",IFERROR(INDEX('OCTMS Risk Map'!$B$4:$B$129,MATCH($A74,'OCTMS Risk Map'!$A$4:$A$129,0)),$B$2))</f>
        <v/>
      </c>
      <c r="C74" s="21" t="str">
        <f aca="false">IF($A74="","",IFERROR(INDEX('OCTMS Risk Map'!$C$4:$C$129,MATCH($A74,'OCTMS Risk Map'!$A$4:$A$129,0)),IF($B$2="H",3,IF($B$2="M",2,1))))</f>
        <v/>
      </c>
      <c r="D74" s="21" t="str">
        <f aca="false">IF($A74="","",IF(COUNTIF(F74:DA74,"&gt;0")&gt;0,1,0))</f>
        <v/>
      </c>
      <c r="E74" s="21" t="n">
        <f aca="false">IF(D74="",0,D74*C74)</f>
        <v>0</v>
      </c>
    </row>
    <row r="75" customFormat="false" ht="15" hidden="false" customHeight="false" outlineLevel="0" collapsed="false">
      <c r="A75" s="32"/>
      <c r="B75" s="21" t="str">
        <f aca="false">IF($A75="","",IFERROR(INDEX('OCTMS Risk Map'!$B$4:$B$129,MATCH($A75,'OCTMS Risk Map'!$A$4:$A$129,0)),$B$2))</f>
        <v/>
      </c>
      <c r="C75" s="21" t="str">
        <f aca="false">IF($A75="","",IFERROR(INDEX('OCTMS Risk Map'!$C$4:$C$129,MATCH($A75,'OCTMS Risk Map'!$A$4:$A$129,0)),IF($B$2="H",3,IF($B$2="M",2,1))))</f>
        <v/>
      </c>
      <c r="D75" s="21" t="str">
        <f aca="false">IF($A75="","",IF(COUNTIF(F75:DA75,"&gt;0")&gt;0,1,0))</f>
        <v/>
      </c>
      <c r="E75" s="21" t="n">
        <f aca="false">IF(D75="",0,D75*C75)</f>
        <v>0</v>
      </c>
    </row>
    <row r="76" customFormat="false" ht="15" hidden="false" customHeight="false" outlineLevel="0" collapsed="false">
      <c r="A76" s="32"/>
      <c r="B76" s="21" t="str">
        <f aca="false">IF($A76="","",IFERROR(INDEX('OCTMS Risk Map'!$B$4:$B$129,MATCH($A76,'OCTMS Risk Map'!$A$4:$A$129,0)),$B$2))</f>
        <v/>
      </c>
      <c r="C76" s="21" t="str">
        <f aca="false">IF($A76="","",IFERROR(INDEX('OCTMS Risk Map'!$C$4:$C$129,MATCH($A76,'OCTMS Risk Map'!$A$4:$A$129,0)),IF($B$2="H",3,IF($B$2="M",2,1))))</f>
        <v/>
      </c>
      <c r="D76" s="21" t="str">
        <f aca="false">IF($A76="","",IF(COUNTIF(F76:DA76,"&gt;0")&gt;0,1,0))</f>
        <v/>
      </c>
      <c r="E76" s="21" t="n">
        <f aca="false">IF(D76="",0,D76*C76)</f>
        <v>0</v>
      </c>
    </row>
    <row r="77" customFormat="false" ht="15" hidden="false" customHeight="false" outlineLevel="0" collapsed="false">
      <c r="A77" s="32"/>
      <c r="B77" s="21" t="str">
        <f aca="false">IF($A77="","",IFERROR(INDEX('OCTMS Risk Map'!$B$4:$B$129,MATCH($A77,'OCTMS Risk Map'!$A$4:$A$129,0)),$B$2))</f>
        <v/>
      </c>
      <c r="C77" s="21" t="str">
        <f aca="false">IF($A77="","",IFERROR(INDEX('OCTMS Risk Map'!$C$4:$C$129,MATCH($A77,'OCTMS Risk Map'!$A$4:$A$129,0)),IF($B$2="H",3,IF($B$2="M",2,1))))</f>
        <v/>
      </c>
      <c r="D77" s="21" t="str">
        <f aca="false">IF($A77="","",IF(COUNTIF(F77:DA77,"&gt;0")&gt;0,1,0))</f>
        <v/>
      </c>
      <c r="E77" s="21" t="n">
        <f aca="false">IF(D77="",0,D77*C77)</f>
        <v>0</v>
      </c>
    </row>
    <row r="78" customFormat="false" ht="15" hidden="false" customHeight="false" outlineLevel="0" collapsed="false">
      <c r="A78" s="32"/>
      <c r="B78" s="21" t="str">
        <f aca="false">IF($A78="","",IFERROR(INDEX('OCTMS Risk Map'!$B$4:$B$129,MATCH($A78,'OCTMS Risk Map'!$A$4:$A$129,0)),$B$2))</f>
        <v/>
      </c>
      <c r="C78" s="21" t="str">
        <f aca="false">IF($A78="","",IFERROR(INDEX('OCTMS Risk Map'!$C$4:$C$129,MATCH($A78,'OCTMS Risk Map'!$A$4:$A$129,0)),IF($B$2="H",3,IF($B$2="M",2,1))))</f>
        <v/>
      </c>
      <c r="D78" s="21" t="str">
        <f aca="false">IF($A78="","",IF(COUNTIF(F78:DA78,"&gt;0")&gt;0,1,0))</f>
        <v/>
      </c>
      <c r="E78" s="21" t="n">
        <f aca="false">IF(D78="",0,D78*C78)</f>
        <v>0</v>
      </c>
    </row>
    <row r="79" customFormat="false" ht="15" hidden="false" customHeight="false" outlineLevel="0" collapsed="false">
      <c r="A79" s="32"/>
      <c r="B79" s="21" t="str">
        <f aca="false">IF($A79="","",IFERROR(INDEX('OCTMS Risk Map'!$B$4:$B$129,MATCH($A79,'OCTMS Risk Map'!$A$4:$A$129,0)),$B$2))</f>
        <v/>
      </c>
      <c r="C79" s="21" t="str">
        <f aca="false">IF($A79="","",IFERROR(INDEX('OCTMS Risk Map'!$C$4:$C$129,MATCH($A79,'OCTMS Risk Map'!$A$4:$A$129,0)),IF($B$2="H",3,IF($B$2="M",2,1))))</f>
        <v/>
      </c>
      <c r="D79" s="21" t="str">
        <f aca="false">IF($A79="","",IF(COUNTIF(F79:DA79,"&gt;0")&gt;0,1,0))</f>
        <v/>
      </c>
      <c r="E79" s="21" t="n">
        <f aca="false">IF(D79="",0,D79*C79)</f>
        <v>0</v>
      </c>
    </row>
    <row r="80" customFormat="false" ht="15" hidden="false" customHeight="false" outlineLevel="0" collapsed="false">
      <c r="A80" s="32"/>
      <c r="B80" s="21" t="str">
        <f aca="false">IF($A80="","",IFERROR(INDEX('OCTMS Risk Map'!$B$4:$B$129,MATCH($A80,'OCTMS Risk Map'!$A$4:$A$129,0)),$B$2))</f>
        <v/>
      </c>
      <c r="C80" s="21" t="str">
        <f aca="false">IF($A80="","",IFERROR(INDEX('OCTMS Risk Map'!$C$4:$C$129,MATCH($A80,'OCTMS Risk Map'!$A$4:$A$129,0)),IF($B$2="H",3,IF($B$2="M",2,1))))</f>
        <v/>
      </c>
      <c r="D80" s="21" t="str">
        <f aca="false">IF($A80="","",IF(COUNTIF(F80:DA80,"&gt;0")&gt;0,1,0))</f>
        <v/>
      </c>
      <c r="E80" s="21" t="n">
        <f aca="false">IF(D80="",0,D80*C80)</f>
        <v>0</v>
      </c>
    </row>
    <row r="81" customFormat="false" ht="15" hidden="false" customHeight="false" outlineLevel="0" collapsed="false">
      <c r="A81" s="32"/>
      <c r="B81" s="21" t="str">
        <f aca="false">IF($A81="","",IFERROR(INDEX('OCTMS Risk Map'!$B$4:$B$129,MATCH($A81,'OCTMS Risk Map'!$A$4:$A$129,0)),$B$2))</f>
        <v/>
      </c>
      <c r="C81" s="21" t="str">
        <f aca="false">IF($A81="","",IFERROR(INDEX('OCTMS Risk Map'!$C$4:$C$129,MATCH($A81,'OCTMS Risk Map'!$A$4:$A$129,0)),IF($B$2="H",3,IF($B$2="M",2,1))))</f>
        <v/>
      </c>
      <c r="D81" s="21" t="str">
        <f aca="false">IF($A81="","",IF(COUNTIF(F81:DA81,"&gt;0")&gt;0,1,0))</f>
        <v/>
      </c>
      <c r="E81" s="21" t="n">
        <f aca="false">IF(D81="",0,D81*C81)</f>
        <v>0</v>
      </c>
    </row>
    <row r="82" customFormat="false" ht="15" hidden="false" customHeight="false" outlineLevel="0" collapsed="false">
      <c r="A82" s="32"/>
      <c r="B82" s="21" t="str">
        <f aca="false">IF($A82="","",IFERROR(INDEX('OCTMS Risk Map'!$B$4:$B$129,MATCH($A82,'OCTMS Risk Map'!$A$4:$A$129,0)),$B$2))</f>
        <v/>
      </c>
      <c r="C82" s="21" t="str">
        <f aca="false">IF($A82="","",IFERROR(INDEX('OCTMS Risk Map'!$C$4:$C$129,MATCH($A82,'OCTMS Risk Map'!$A$4:$A$129,0)),IF($B$2="H",3,IF($B$2="M",2,1))))</f>
        <v/>
      </c>
      <c r="D82" s="21" t="str">
        <f aca="false">IF($A82="","",IF(COUNTIF(F82:DA82,"&gt;0")&gt;0,1,0))</f>
        <v/>
      </c>
      <c r="E82" s="21" t="n">
        <f aca="false">IF(D82="",0,D82*C82)</f>
        <v>0</v>
      </c>
    </row>
    <row r="83" customFormat="false" ht="15" hidden="false" customHeight="false" outlineLevel="0" collapsed="false">
      <c r="A83" s="32"/>
      <c r="B83" s="21" t="str">
        <f aca="false">IF($A83="","",IFERROR(INDEX('OCTMS Risk Map'!$B$4:$B$129,MATCH($A83,'OCTMS Risk Map'!$A$4:$A$129,0)),$B$2))</f>
        <v/>
      </c>
      <c r="C83" s="21" t="str">
        <f aca="false">IF($A83="","",IFERROR(INDEX('OCTMS Risk Map'!$C$4:$C$129,MATCH($A83,'OCTMS Risk Map'!$A$4:$A$129,0)),IF($B$2="H",3,IF($B$2="M",2,1))))</f>
        <v/>
      </c>
      <c r="D83" s="21" t="str">
        <f aca="false">IF($A83="","",IF(COUNTIF(F83:DA83,"&gt;0")&gt;0,1,0))</f>
        <v/>
      </c>
      <c r="E83" s="21" t="n">
        <f aca="false">IF(D83="",0,D83*C83)</f>
        <v>0</v>
      </c>
    </row>
    <row r="84" customFormat="false" ht="15" hidden="false" customHeight="false" outlineLevel="0" collapsed="false">
      <c r="A84" s="32"/>
      <c r="B84" s="21" t="str">
        <f aca="false">IF($A84="","",IFERROR(INDEX('OCTMS Risk Map'!$B$4:$B$129,MATCH($A84,'OCTMS Risk Map'!$A$4:$A$129,0)),$B$2))</f>
        <v/>
      </c>
      <c r="C84" s="21" t="str">
        <f aca="false">IF($A84="","",IFERROR(INDEX('OCTMS Risk Map'!$C$4:$C$129,MATCH($A84,'OCTMS Risk Map'!$A$4:$A$129,0)),IF($B$2="H",3,IF($B$2="M",2,1))))</f>
        <v/>
      </c>
      <c r="D84" s="21" t="str">
        <f aca="false">IF($A84="","",IF(COUNTIF(F84:DA84,"&gt;0")&gt;0,1,0))</f>
        <v/>
      </c>
      <c r="E84" s="21" t="n">
        <f aca="false">IF(D84="",0,D84*C84)</f>
        <v>0</v>
      </c>
    </row>
    <row r="85" customFormat="false" ht="15" hidden="false" customHeight="false" outlineLevel="0" collapsed="false">
      <c r="A85" s="32"/>
      <c r="B85" s="21" t="str">
        <f aca="false">IF($A85="","",IFERROR(INDEX('OCTMS Risk Map'!$B$4:$B$129,MATCH($A85,'OCTMS Risk Map'!$A$4:$A$129,0)),$B$2))</f>
        <v/>
      </c>
      <c r="C85" s="21" t="str">
        <f aca="false">IF($A85="","",IFERROR(INDEX('OCTMS Risk Map'!$C$4:$C$129,MATCH($A85,'OCTMS Risk Map'!$A$4:$A$129,0)),IF($B$2="H",3,IF($B$2="M",2,1))))</f>
        <v/>
      </c>
      <c r="D85" s="21" t="str">
        <f aca="false">IF($A85="","",IF(COUNTIF(F85:DA85,"&gt;0")&gt;0,1,0))</f>
        <v/>
      </c>
      <c r="E85" s="21" t="n">
        <f aca="false">IF(D85="",0,D85*C85)</f>
        <v>0</v>
      </c>
    </row>
    <row r="86" customFormat="false" ht="15" hidden="false" customHeight="false" outlineLevel="0" collapsed="false">
      <c r="A86" s="32"/>
      <c r="B86" s="21" t="str">
        <f aca="false">IF($A86="","",IFERROR(INDEX('OCTMS Risk Map'!$B$4:$B$129,MATCH($A86,'OCTMS Risk Map'!$A$4:$A$129,0)),$B$2))</f>
        <v/>
      </c>
      <c r="C86" s="21" t="str">
        <f aca="false">IF($A86="","",IFERROR(INDEX('OCTMS Risk Map'!$C$4:$C$129,MATCH($A86,'OCTMS Risk Map'!$A$4:$A$129,0)),IF($B$2="H",3,IF($B$2="M",2,1))))</f>
        <v/>
      </c>
      <c r="D86" s="21" t="str">
        <f aca="false">IF($A86="","",IF(COUNTIF(F86:DA86,"&gt;0")&gt;0,1,0))</f>
        <v/>
      </c>
      <c r="E86" s="21" t="n">
        <f aca="false">IF(D86="",0,D86*C86)</f>
        <v>0</v>
      </c>
    </row>
    <row r="87" customFormat="false" ht="15" hidden="false" customHeight="false" outlineLevel="0" collapsed="false">
      <c r="A87" s="32"/>
      <c r="B87" s="21" t="str">
        <f aca="false">IF($A87="","",IFERROR(INDEX('OCTMS Risk Map'!$B$4:$B$129,MATCH($A87,'OCTMS Risk Map'!$A$4:$A$129,0)),$B$2))</f>
        <v/>
      </c>
      <c r="C87" s="21" t="str">
        <f aca="false">IF($A87="","",IFERROR(INDEX('OCTMS Risk Map'!$C$4:$C$129,MATCH($A87,'OCTMS Risk Map'!$A$4:$A$129,0)),IF($B$2="H",3,IF($B$2="M",2,1))))</f>
        <v/>
      </c>
      <c r="D87" s="21" t="str">
        <f aca="false">IF($A87="","",IF(COUNTIF(F87:DA87,"&gt;0")&gt;0,1,0))</f>
        <v/>
      </c>
      <c r="E87" s="21" t="n">
        <f aca="false">IF(D87="",0,D87*C87)</f>
        <v>0</v>
      </c>
    </row>
    <row r="88" customFormat="false" ht="15" hidden="false" customHeight="false" outlineLevel="0" collapsed="false">
      <c r="A88" s="32"/>
      <c r="B88" s="21" t="str">
        <f aca="false">IF($A88="","",IFERROR(INDEX('OCTMS Risk Map'!$B$4:$B$129,MATCH($A88,'OCTMS Risk Map'!$A$4:$A$129,0)),$B$2))</f>
        <v/>
      </c>
      <c r="C88" s="21" t="str">
        <f aca="false">IF($A88="","",IFERROR(INDEX('OCTMS Risk Map'!$C$4:$C$129,MATCH($A88,'OCTMS Risk Map'!$A$4:$A$129,0)),IF($B$2="H",3,IF($B$2="M",2,1))))</f>
        <v/>
      </c>
      <c r="D88" s="21" t="str">
        <f aca="false">IF($A88="","",IF(COUNTIF(F88:DA88,"&gt;0")&gt;0,1,0))</f>
        <v/>
      </c>
      <c r="E88" s="21" t="n">
        <f aca="false">IF(D88="",0,D88*C88)</f>
        <v>0</v>
      </c>
    </row>
    <row r="89" customFormat="false" ht="15" hidden="false" customHeight="false" outlineLevel="0" collapsed="false">
      <c r="A89" s="32"/>
      <c r="B89" s="21" t="str">
        <f aca="false">IF($A89="","",IFERROR(INDEX('OCTMS Risk Map'!$B$4:$B$129,MATCH($A89,'OCTMS Risk Map'!$A$4:$A$129,0)),$B$2))</f>
        <v/>
      </c>
      <c r="C89" s="21" t="str">
        <f aca="false">IF($A89="","",IFERROR(INDEX('OCTMS Risk Map'!$C$4:$C$129,MATCH($A89,'OCTMS Risk Map'!$A$4:$A$129,0)),IF($B$2="H",3,IF($B$2="M",2,1))))</f>
        <v/>
      </c>
      <c r="D89" s="21" t="str">
        <f aca="false">IF($A89="","",IF(COUNTIF(F89:DA89,"&gt;0")&gt;0,1,0))</f>
        <v/>
      </c>
      <c r="E89" s="21" t="n">
        <f aca="false">IF(D89="",0,D89*C89)</f>
        <v>0</v>
      </c>
    </row>
    <row r="90" customFormat="false" ht="15" hidden="false" customHeight="false" outlineLevel="0" collapsed="false">
      <c r="A90" s="32"/>
      <c r="B90" s="21" t="str">
        <f aca="false">IF($A90="","",IFERROR(INDEX('OCTMS Risk Map'!$B$4:$B$129,MATCH($A90,'OCTMS Risk Map'!$A$4:$A$129,0)),$B$2))</f>
        <v/>
      </c>
      <c r="C90" s="21" t="str">
        <f aca="false">IF($A90="","",IFERROR(INDEX('OCTMS Risk Map'!$C$4:$C$129,MATCH($A90,'OCTMS Risk Map'!$A$4:$A$129,0)),IF($B$2="H",3,IF($B$2="M",2,1))))</f>
        <v/>
      </c>
      <c r="D90" s="21" t="str">
        <f aca="false">IF($A90="","",IF(COUNTIF(F90:DA90,"&gt;0")&gt;0,1,0))</f>
        <v/>
      </c>
      <c r="E90" s="21" t="n">
        <f aca="false">IF(D90="",0,D90*C90)</f>
        <v>0</v>
      </c>
    </row>
    <row r="91" customFormat="false" ht="15" hidden="false" customHeight="false" outlineLevel="0" collapsed="false">
      <c r="A91" s="32"/>
      <c r="B91" s="21" t="str">
        <f aca="false">IF($A91="","",IFERROR(INDEX('OCTMS Risk Map'!$B$4:$B$129,MATCH($A91,'OCTMS Risk Map'!$A$4:$A$129,0)),$B$2))</f>
        <v/>
      </c>
      <c r="C91" s="21" t="str">
        <f aca="false">IF($A91="","",IFERROR(INDEX('OCTMS Risk Map'!$C$4:$C$129,MATCH($A91,'OCTMS Risk Map'!$A$4:$A$129,0)),IF($B$2="H",3,IF($B$2="M",2,1))))</f>
        <v/>
      </c>
      <c r="D91" s="21" t="str">
        <f aca="false">IF($A91="","",IF(COUNTIF(F91:DA91,"&gt;0")&gt;0,1,0))</f>
        <v/>
      </c>
      <c r="E91" s="21" t="n">
        <f aca="false">IF(D91="",0,D91*C91)</f>
        <v>0</v>
      </c>
    </row>
    <row r="92" customFormat="false" ht="15" hidden="false" customHeight="false" outlineLevel="0" collapsed="false">
      <c r="A92" s="32"/>
      <c r="B92" s="21" t="str">
        <f aca="false">IF($A92="","",IFERROR(INDEX('OCTMS Risk Map'!$B$4:$B$129,MATCH($A92,'OCTMS Risk Map'!$A$4:$A$129,0)),$B$2))</f>
        <v/>
      </c>
      <c r="C92" s="21" t="str">
        <f aca="false">IF($A92="","",IFERROR(INDEX('OCTMS Risk Map'!$C$4:$C$129,MATCH($A92,'OCTMS Risk Map'!$A$4:$A$129,0)),IF($B$2="H",3,IF($B$2="M",2,1))))</f>
        <v/>
      </c>
      <c r="D92" s="21" t="str">
        <f aca="false">IF($A92="","",IF(COUNTIF(F92:DA92,"&gt;0")&gt;0,1,0))</f>
        <v/>
      </c>
      <c r="E92" s="21" t="n">
        <f aca="false">IF(D92="",0,D92*C92)</f>
        <v>0</v>
      </c>
    </row>
    <row r="93" customFormat="false" ht="15" hidden="false" customHeight="false" outlineLevel="0" collapsed="false">
      <c r="A93" s="32"/>
      <c r="B93" s="21" t="str">
        <f aca="false">IF($A93="","",IFERROR(INDEX('OCTMS Risk Map'!$B$4:$B$129,MATCH($A93,'OCTMS Risk Map'!$A$4:$A$129,0)),$B$2))</f>
        <v/>
      </c>
      <c r="C93" s="21" t="str">
        <f aca="false">IF($A93="","",IFERROR(INDEX('OCTMS Risk Map'!$C$4:$C$129,MATCH($A93,'OCTMS Risk Map'!$A$4:$A$129,0)),IF($B$2="H",3,IF($B$2="M",2,1))))</f>
        <v/>
      </c>
      <c r="D93" s="21" t="str">
        <f aca="false">IF($A93="","",IF(COUNTIF(F93:DA93,"&gt;0")&gt;0,1,0))</f>
        <v/>
      </c>
      <c r="E93" s="21" t="n">
        <f aca="false">IF(D93="",0,D93*C93)</f>
        <v>0</v>
      </c>
    </row>
    <row r="94" customFormat="false" ht="15" hidden="false" customHeight="false" outlineLevel="0" collapsed="false">
      <c r="A94" s="32"/>
      <c r="B94" s="21" t="str">
        <f aca="false">IF($A94="","",IFERROR(INDEX('OCTMS Risk Map'!$B$4:$B$129,MATCH($A94,'OCTMS Risk Map'!$A$4:$A$129,0)),$B$2))</f>
        <v/>
      </c>
      <c r="C94" s="21" t="str">
        <f aca="false">IF($A94="","",IFERROR(INDEX('OCTMS Risk Map'!$C$4:$C$129,MATCH($A94,'OCTMS Risk Map'!$A$4:$A$129,0)),IF($B$2="H",3,IF($B$2="M",2,1))))</f>
        <v/>
      </c>
      <c r="D94" s="21" t="str">
        <f aca="false">IF($A94="","",IF(COUNTIF(F94:DA94,"&gt;0")&gt;0,1,0))</f>
        <v/>
      </c>
      <c r="E94" s="21" t="n">
        <f aca="false">IF(D94="",0,D94*C94)</f>
        <v>0</v>
      </c>
    </row>
    <row r="95" customFormat="false" ht="15" hidden="false" customHeight="false" outlineLevel="0" collapsed="false">
      <c r="A95" s="32"/>
      <c r="B95" s="21" t="str">
        <f aca="false">IF($A95="","",IFERROR(INDEX('OCTMS Risk Map'!$B$4:$B$129,MATCH($A95,'OCTMS Risk Map'!$A$4:$A$129,0)),$B$2))</f>
        <v/>
      </c>
      <c r="C95" s="21" t="str">
        <f aca="false">IF($A95="","",IFERROR(INDEX('OCTMS Risk Map'!$C$4:$C$129,MATCH($A95,'OCTMS Risk Map'!$A$4:$A$129,0)),IF($B$2="H",3,IF($B$2="M",2,1))))</f>
        <v/>
      </c>
      <c r="D95" s="21" t="str">
        <f aca="false">IF($A95="","",IF(COUNTIF(F95:DA95,"&gt;0")&gt;0,1,0))</f>
        <v/>
      </c>
      <c r="E95" s="21" t="n">
        <f aca="false">IF(D95="",0,D95*C95)</f>
        <v>0</v>
      </c>
    </row>
    <row r="96" customFormat="false" ht="15" hidden="false" customHeight="false" outlineLevel="0" collapsed="false">
      <c r="A96" s="32"/>
      <c r="B96" s="21" t="str">
        <f aca="false">IF($A96="","",IFERROR(INDEX('OCTMS Risk Map'!$B$4:$B$129,MATCH($A96,'OCTMS Risk Map'!$A$4:$A$129,0)),$B$2))</f>
        <v/>
      </c>
      <c r="C96" s="21" t="str">
        <f aca="false">IF($A96="","",IFERROR(INDEX('OCTMS Risk Map'!$C$4:$C$129,MATCH($A96,'OCTMS Risk Map'!$A$4:$A$129,0)),IF($B$2="H",3,IF($B$2="M",2,1))))</f>
        <v/>
      </c>
      <c r="D96" s="21" t="str">
        <f aca="false">IF($A96="","",IF(COUNTIF(F96:DA96,"&gt;0")&gt;0,1,0))</f>
        <v/>
      </c>
      <c r="E96" s="21" t="n">
        <f aca="false">IF(D96="",0,D96*C96)</f>
        <v>0</v>
      </c>
    </row>
    <row r="97" customFormat="false" ht="15" hidden="false" customHeight="false" outlineLevel="0" collapsed="false">
      <c r="A97" s="32"/>
      <c r="B97" s="21" t="str">
        <f aca="false">IF($A97="","",IFERROR(INDEX('OCTMS Risk Map'!$B$4:$B$129,MATCH($A97,'OCTMS Risk Map'!$A$4:$A$129,0)),$B$2))</f>
        <v/>
      </c>
      <c r="C97" s="21" t="str">
        <f aca="false">IF($A97="","",IFERROR(INDEX('OCTMS Risk Map'!$C$4:$C$129,MATCH($A97,'OCTMS Risk Map'!$A$4:$A$129,0)),IF($B$2="H",3,IF($B$2="M",2,1))))</f>
        <v/>
      </c>
      <c r="D97" s="21" t="str">
        <f aca="false">IF($A97="","",IF(COUNTIF(F97:DA97,"&gt;0")&gt;0,1,0))</f>
        <v/>
      </c>
      <c r="E97" s="21" t="n">
        <f aca="false">IF(D97="",0,D97*C97)</f>
        <v>0</v>
      </c>
    </row>
    <row r="98" customFormat="false" ht="15" hidden="false" customHeight="false" outlineLevel="0" collapsed="false">
      <c r="A98" s="32"/>
      <c r="B98" s="21" t="str">
        <f aca="false">IF($A98="","",IFERROR(INDEX('OCTMS Risk Map'!$B$4:$B$129,MATCH($A98,'OCTMS Risk Map'!$A$4:$A$129,0)),$B$2))</f>
        <v/>
      </c>
      <c r="C98" s="21" t="str">
        <f aca="false">IF($A98="","",IFERROR(INDEX('OCTMS Risk Map'!$C$4:$C$129,MATCH($A98,'OCTMS Risk Map'!$A$4:$A$129,0)),IF($B$2="H",3,IF($B$2="M",2,1))))</f>
        <v/>
      </c>
      <c r="D98" s="21" t="str">
        <f aca="false">IF($A98="","",IF(COUNTIF(F98:DA98,"&gt;0")&gt;0,1,0))</f>
        <v/>
      </c>
      <c r="E98" s="21" t="n">
        <f aca="false">IF(D98="",0,D98*C98)</f>
        <v>0</v>
      </c>
    </row>
    <row r="99" customFormat="false" ht="15" hidden="false" customHeight="false" outlineLevel="0" collapsed="false">
      <c r="A99" s="32"/>
      <c r="B99" s="21" t="str">
        <f aca="false">IF($A99="","",IFERROR(INDEX('OCTMS Risk Map'!$B$4:$B$129,MATCH($A99,'OCTMS Risk Map'!$A$4:$A$129,0)),$B$2))</f>
        <v/>
      </c>
      <c r="C99" s="21" t="str">
        <f aca="false">IF($A99="","",IFERROR(INDEX('OCTMS Risk Map'!$C$4:$C$129,MATCH($A99,'OCTMS Risk Map'!$A$4:$A$129,0)),IF($B$2="H",3,IF($B$2="M",2,1))))</f>
        <v/>
      </c>
      <c r="D99" s="21" t="str">
        <f aca="false">IF($A99="","",IF(COUNTIF(F99:DA99,"&gt;0")&gt;0,1,0))</f>
        <v/>
      </c>
      <c r="E99" s="21" t="n">
        <f aca="false">IF(D99="",0,D99*C99)</f>
        <v>0</v>
      </c>
    </row>
    <row r="100" customFormat="false" ht="15" hidden="false" customHeight="false" outlineLevel="0" collapsed="false">
      <c r="A100" s="32"/>
      <c r="B100" s="21" t="str">
        <f aca="false">IF($A100="","",IFERROR(INDEX('OCTMS Risk Map'!$B$4:$B$129,MATCH($A100,'OCTMS Risk Map'!$A$4:$A$129,0)),$B$2))</f>
        <v/>
      </c>
      <c r="C100" s="21" t="str">
        <f aca="false">IF($A100="","",IFERROR(INDEX('OCTMS Risk Map'!$C$4:$C$129,MATCH($A100,'OCTMS Risk Map'!$A$4:$A$129,0)),IF($B$2="H",3,IF($B$2="M",2,1))))</f>
        <v/>
      </c>
      <c r="D100" s="21" t="str">
        <f aca="false">IF($A100="","",IF(COUNTIF(F100:DA100,"&gt;0")&gt;0,1,0))</f>
        <v/>
      </c>
      <c r="E100" s="21" t="n">
        <f aca="false">IF(D100="",0,D100*C100)</f>
        <v>0</v>
      </c>
    </row>
    <row r="101" customFormat="false" ht="15" hidden="false" customHeight="false" outlineLevel="0" collapsed="false">
      <c r="A101" s="32"/>
      <c r="B101" s="21" t="str">
        <f aca="false">IF($A101="","",IFERROR(INDEX('OCTMS Risk Map'!$B$4:$B$129,MATCH($A101,'OCTMS Risk Map'!$A$4:$A$129,0)),$B$2))</f>
        <v/>
      </c>
      <c r="C101" s="21" t="str">
        <f aca="false">IF($A101="","",IFERROR(INDEX('OCTMS Risk Map'!$C$4:$C$129,MATCH($A101,'OCTMS Risk Map'!$A$4:$A$129,0)),IF($B$2="H",3,IF($B$2="M",2,1))))</f>
        <v/>
      </c>
      <c r="D101" s="21" t="str">
        <f aca="false">IF($A101="","",IF(COUNTIF(F101:DA101,"&gt;0")&gt;0,1,0))</f>
        <v/>
      </c>
      <c r="E101" s="21" t="n">
        <f aca="false">IF(D101="",0,D101*C101)</f>
        <v>0</v>
      </c>
    </row>
    <row r="102" customFormat="false" ht="15" hidden="false" customHeight="false" outlineLevel="0" collapsed="false">
      <c r="A102" s="32"/>
      <c r="B102" s="21" t="str">
        <f aca="false">IF($A102="","",IFERROR(INDEX('OCTMS Risk Map'!$B$4:$B$129,MATCH($A102,'OCTMS Risk Map'!$A$4:$A$129,0)),$B$2))</f>
        <v/>
      </c>
      <c r="C102" s="21" t="str">
        <f aca="false">IF($A102="","",IFERROR(INDEX('OCTMS Risk Map'!$C$4:$C$129,MATCH($A102,'OCTMS Risk Map'!$A$4:$A$129,0)),IF($B$2="H",3,IF($B$2="M",2,1))))</f>
        <v/>
      </c>
      <c r="D102" s="21" t="str">
        <f aca="false">IF($A102="","",IF(COUNTIF(F102:DA102,"&gt;0")&gt;0,1,0))</f>
        <v/>
      </c>
      <c r="E102" s="21" t="n">
        <f aca="false">IF(D102="",0,D102*C102)</f>
        <v>0</v>
      </c>
    </row>
    <row r="103" customFormat="false" ht="15" hidden="false" customHeight="false" outlineLevel="0" collapsed="false">
      <c r="A103" s="32"/>
      <c r="B103" s="21" t="str">
        <f aca="false">IF($A103="","",IFERROR(INDEX('OCTMS Risk Map'!$B$4:$B$129,MATCH($A103,'OCTMS Risk Map'!$A$4:$A$129,0)),$B$2))</f>
        <v/>
      </c>
      <c r="C103" s="21" t="str">
        <f aca="false">IF($A103="","",IFERROR(INDEX('OCTMS Risk Map'!$C$4:$C$129,MATCH($A103,'OCTMS Risk Map'!$A$4:$A$129,0)),IF($B$2="H",3,IF($B$2="M",2,1))))</f>
        <v/>
      </c>
      <c r="D103" s="21" t="str">
        <f aca="false">IF($A103="","",IF(COUNTIF(F103:DA103,"&gt;0")&gt;0,1,0))</f>
        <v/>
      </c>
      <c r="E103" s="21" t="n">
        <f aca="false">IF(D103="",0,D103*C103)</f>
        <v>0</v>
      </c>
    </row>
    <row r="104" customFormat="false" ht="15" hidden="false" customHeight="false" outlineLevel="0" collapsed="false">
      <c r="A104" s="32"/>
      <c r="B104" s="21" t="str">
        <f aca="false">IF($A104="","",IFERROR(INDEX('OCTMS Risk Map'!$B$4:$B$129,MATCH($A104,'OCTMS Risk Map'!$A$4:$A$129,0)),$B$2))</f>
        <v/>
      </c>
      <c r="C104" s="21" t="str">
        <f aca="false">IF($A104="","",IFERROR(INDEX('OCTMS Risk Map'!$C$4:$C$129,MATCH($A104,'OCTMS Risk Map'!$A$4:$A$129,0)),IF($B$2="H",3,IF($B$2="M",2,1))))</f>
        <v/>
      </c>
      <c r="D104" s="21" t="str">
        <f aca="false">IF($A104="","",IF(COUNTIF(F104:DA104,"&gt;0")&gt;0,1,0))</f>
        <v/>
      </c>
      <c r="E104" s="21" t="n">
        <f aca="false">IF(D104="",0,D104*C104)</f>
        <v>0</v>
      </c>
    </row>
    <row r="105" customFormat="false" ht="15" hidden="false" customHeight="false" outlineLevel="0" collapsed="false">
      <c r="A105" s="32"/>
      <c r="B105" s="21" t="str">
        <f aca="false">IF($A105="","",IFERROR(INDEX('OCTMS Risk Map'!$B$4:$B$129,MATCH($A105,'OCTMS Risk Map'!$A$4:$A$129,0)),$B$2))</f>
        <v/>
      </c>
      <c r="C105" s="21" t="str">
        <f aca="false">IF($A105="","",IFERROR(INDEX('OCTMS Risk Map'!$C$4:$C$129,MATCH($A105,'OCTMS Risk Map'!$A$4:$A$129,0)),IF($B$2="H",3,IF($B$2="M",2,1))))</f>
        <v/>
      </c>
      <c r="D105" s="21" t="str">
        <f aca="false">IF($A105="","",IF(COUNTIF(F105:DA105,"&gt;0")&gt;0,1,0))</f>
        <v/>
      </c>
      <c r="E105" s="21" t="n">
        <f aca="false">IF(D105="",0,D105*C105)</f>
        <v>0</v>
      </c>
    </row>
    <row r="106" customFormat="false" ht="15" hidden="false" customHeight="false" outlineLevel="0" collapsed="false">
      <c r="A106" s="32"/>
      <c r="B106" s="21" t="str">
        <f aca="false">IF($A106="","",IFERROR(INDEX('OCTMS Risk Map'!$B$4:$B$129,MATCH($A106,'OCTMS Risk Map'!$A$4:$A$129,0)),$B$2))</f>
        <v/>
      </c>
      <c r="C106" s="21" t="str">
        <f aca="false">IF($A106="","",IFERROR(INDEX('OCTMS Risk Map'!$C$4:$C$129,MATCH($A106,'OCTMS Risk Map'!$A$4:$A$129,0)),IF($B$2="H",3,IF($B$2="M",2,1))))</f>
        <v/>
      </c>
      <c r="D106" s="21" t="str">
        <f aca="false">IF($A106="","",IF(COUNTIF(F106:DA106,"&gt;0")&gt;0,1,0))</f>
        <v/>
      </c>
      <c r="E106" s="21" t="n">
        <f aca="false">IF(D106="",0,D106*C106)</f>
        <v>0</v>
      </c>
    </row>
    <row r="107" customFormat="false" ht="15" hidden="false" customHeight="false" outlineLevel="0" collapsed="false">
      <c r="A107" s="32"/>
      <c r="B107" s="21" t="str">
        <f aca="false">IF($A107="","",IFERROR(INDEX('OCTMS Risk Map'!$B$4:$B$129,MATCH($A107,'OCTMS Risk Map'!$A$4:$A$129,0)),$B$2))</f>
        <v/>
      </c>
      <c r="C107" s="21" t="str">
        <f aca="false">IF($A107="","",IFERROR(INDEX('OCTMS Risk Map'!$C$4:$C$129,MATCH($A107,'OCTMS Risk Map'!$A$4:$A$129,0)),IF($B$2="H",3,IF($B$2="M",2,1))))</f>
        <v/>
      </c>
      <c r="D107" s="21" t="str">
        <f aca="false">IF($A107="","",IF(COUNTIF(F107:DA107,"&gt;0")&gt;0,1,0))</f>
        <v/>
      </c>
      <c r="E107" s="21" t="n">
        <f aca="false">IF(D107="",0,D107*C107)</f>
        <v>0</v>
      </c>
    </row>
    <row r="108" customFormat="false" ht="15" hidden="false" customHeight="false" outlineLevel="0" collapsed="false">
      <c r="A108" s="32"/>
      <c r="B108" s="21" t="str">
        <f aca="false">IF($A108="","",IFERROR(INDEX('OCTMS Risk Map'!$B$4:$B$129,MATCH($A108,'OCTMS Risk Map'!$A$4:$A$129,0)),$B$2))</f>
        <v/>
      </c>
      <c r="C108" s="21" t="str">
        <f aca="false">IF($A108="","",IFERROR(INDEX('OCTMS Risk Map'!$C$4:$C$129,MATCH($A108,'OCTMS Risk Map'!$A$4:$A$129,0)),IF($B$2="H",3,IF($B$2="M",2,1))))</f>
        <v/>
      </c>
      <c r="D108" s="21" t="str">
        <f aca="false">IF($A108="","",IF(COUNTIF(F108:DA108,"&gt;0")&gt;0,1,0))</f>
        <v/>
      </c>
      <c r="E108" s="21" t="n">
        <f aca="false">IF(D108="",0,D108*C108)</f>
        <v>0</v>
      </c>
    </row>
    <row r="109" customFormat="false" ht="15" hidden="false" customHeight="false" outlineLevel="0" collapsed="false">
      <c r="A109" s="32"/>
      <c r="B109" s="21" t="str">
        <f aca="false">IF($A109="","",IFERROR(INDEX('OCTMS Risk Map'!$B$4:$B$129,MATCH($A109,'OCTMS Risk Map'!$A$4:$A$129,0)),$B$2))</f>
        <v/>
      </c>
      <c r="C109" s="21" t="str">
        <f aca="false">IF($A109="","",IFERROR(INDEX('OCTMS Risk Map'!$C$4:$C$129,MATCH($A109,'OCTMS Risk Map'!$A$4:$A$129,0)),IF($B$2="H",3,IF($B$2="M",2,1))))</f>
        <v/>
      </c>
      <c r="D109" s="21" t="str">
        <f aca="false">IF($A109="","",IF(COUNTIF(F109:DA109,"&gt;0")&gt;0,1,0))</f>
        <v/>
      </c>
      <c r="E109" s="21" t="n">
        <f aca="false">IF(D109="",0,D109*C109)</f>
        <v>0</v>
      </c>
    </row>
    <row r="110" customFormat="false" ht="15" hidden="false" customHeight="false" outlineLevel="0" collapsed="false">
      <c r="A110" s="32"/>
      <c r="B110" s="21" t="str">
        <f aca="false">IF($A110="","",IFERROR(INDEX('OCTMS Risk Map'!$B$4:$B$129,MATCH($A110,'OCTMS Risk Map'!$A$4:$A$129,0)),$B$2))</f>
        <v/>
      </c>
      <c r="C110" s="21" t="str">
        <f aca="false">IF($A110="","",IFERROR(INDEX('OCTMS Risk Map'!$C$4:$C$129,MATCH($A110,'OCTMS Risk Map'!$A$4:$A$129,0)),IF($B$2="H",3,IF($B$2="M",2,1))))</f>
        <v/>
      </c>
      <c r="D110" s="21" t="str">
        <f aca="false">IF($A110="","",IF(COUNTIF(F110:DA110,"&gt;0")&gt;0,1,0))</f>
        <v/>
      </c>
      <c r="E110" s="21" t="n">
        <f aca="false">IF(D110="",0,D110*C110)</f>
        <v>0</v>
      </c>
    </row>
    <row r="111" customFormat="false" ht="15" hidden="false" customHeight="false" outlineLevel="0" collapsed="false">
      <c r="A111" s="32"/>
      <c r="B111" s="21" t="str">
        <f aca="false">IF($A111="","",IFERROR(INDEX('OCTMS Risk Map'!$B$4:$B$129,MATCH($A111,'OCTMS Risk Map'!$A$4:$A$129,0)),$B$2))</f>
        <v/>
      </c>
      <c r="C111" s="21" t="str">
        <f aca="false">IF($A111="","",IFERROR(INDEX('OCTMS Risk Map'!$C$4:$C$129,MATCH($A111,'OCTMS Risk Map'!$A$4:$A$129,0)),IF($B$2="H",3,IF($B$2="M",2,1))))</f>
        <v/>
      </c>
      <c r="D111" s="21" t="str">
        <f aca="false">IF($A111="","",IF(COUNTIF(F111:DA111,"&gt;0")&gt;0,1,0))</f>
        <v/>
      </c>
      <c r="E111" s="21" t="n">
        <f aca="false">IF(D111="",0,D111*C111)</f>
        <v>0</v>
      </c>
    </row>
    <row r="112" customFormat="false" ht="15" hidden="false" customHeight="false" outlineLevel="0" collapsed="false">
      <c r="A112" s="32"/>
      <c r="B112" s="21" t="str">
        <f aca="false">IF($A112="","",IFERROR(INDEX('OCTMS Risk Map'!$B$4:$B$129,MATCH($A112,'OCTMS Risk Map'!$A$4:$A$129,0)),$B$2))</f>
        <v/>
      </c>
      <c r="C112" s="21" t="str">
        <f aca="false">IF($A112="","",IFERROR(INDEX('OCTMS Risk Map'!$C$4:$C$129,MATCH($A112,'OCTMS Risk Map'!$A$4:$A$129,0)),IF($B$2="H",3,IF($B$2="M",2,1))))</f>
        <v/>
      </c>
      <c r="D112" s="21" t="str">
        <f aca="false">IF($A112="","",IF(COUNTIF(F112:DA112,"&gt;0")&gt;0,1,0))</f>
        <v/>
      </c>
      <c r="E112" s="21" t="n">
        <f aca="false">IF(D112="",0,D112*C112)</f>
        <v>0</v>
      </c>
    </row>
    <row r="113" customFormat="false" ht="15" hidden="false" customHeight="false" outlineLevel="0" collapsed="false">
      <c r="A113" s="32"/>
      <c r="B113" s="21" t="str">
        <f aca="false">IF($A113="","",IFERROR(INDEX('OCTMS Risk Map'!$B$4:$B$129,MATCH($A113,'OCTMS Risk Map'!$A$4:$A$129,0)),$B$2))</f>
        <v/>
      </c>
      <c r="C113" s="21" t="str">
        <f aca="false">IF($A113="","",IFERROR(INDEX('OCTMS Risk Map'!$C$4:$C$129,MATCH($A113,'OCTMS Risk Map'!$A$4:$A$129,0)),IF($B$2="H",3,IF($B$2="M",2,1))))</f>
        <v/>
      </c>
      <c r="D113" s="21" t="str">
        <f aca="false">IF($A113="","",IF(COUNTIF(F113:DA113,"&gt;0")&gt;0,1,0))</f>
        <v/>
      </c>
      <c r="E113" s="21" t="n">
        <f aca="false">IF(D113="",0,D113*C113)</f>
        <v>0</v>
      </c>
    </row>
    <row r="114" customFormat="false" ht="15" hidden="false" customHeight="false" outlineLevel="0" collapsed="false">
      <c r="A114" s="32"/>
      <c r="B114" s="21" t="str">
        <f aca="false">IF($A114="","",IFERROR(INDEX('OCTMS Risk Map'!$B$4:$B$129,MATCH($A114,'OCTMS Risk Map'!$A$4:$A$129,0)),$B$2))</f>
        <v/>
      </c>
      <c r="C114" s="21" t="str">
        <f aca="false">IF($A114="","",IFERROR(INDEX('OCTMS Risk Map'!$C$4:$C$129,MATCH($A114,'OCTMS Risk Map'!$A$4:$A$129,0)),IF($B$2="H",3,IF($B$2="M",2,1))))</f>
        <v/>
      </c>
      <c r="D114" s="21" t="str">
        <f aca="false">IF($A114="","",IF(COUNTIF(F114:DA114,"&gt;0")&gt;0,1,0))</f>
        <v/>
      </c>
      <c r="E114" s="21" t="n">
        <f aca="false">IF(D114="",0,D114*C114)</f>
        <v>0</v>
      </c>
    </row>
    <row r="115" customFormat="false" ht="15" hidden="false" customHeight="false" outlineLevel="0" collapsed="false">
      <c r="A115" s="32"/>
      <c r="B115" s="21" t="str">
        <f aca="false">IF($A115="","",IFERROR(INDEX('OCTMS Risk Map'!$B$4:$B$129,MATCH($A115,'OCTMS Risk Map'!$A$4:$A$129,0)),$B$2))</f>
        <v/>
      </c>
      <c r="C115" s="21" t="str">
        <f aca="false">IF($A115="","",IFERROR(INDEX('OCTMS Risk Map'!$C$4:$C$129,MATCH($A115,'OCTMS Risk Map'!$A$4:$A$129,0)),IF($B$2="H",3,IF($B$2="M",2,1))))</f>
        <v/>
      </c>
      <c r="D115" s="21" t="str">
        <f aca="false">IF($A115="","",IF(COUNTIF(F115:DA115,"&gt;0")&gt;0,1,0))</f>
        <v/>
      </c>
      <c r="E115" s="21" t="n">
        <f aca="false">IF(D115="",0,D115*C115)</f>
        <v>0</v>
      </c>
    </row>
    <row r="116" customFormat="false" ht="15" hidden="false" customHeight="false" outlineLevel="0" collapsed="false">
      <c r="A116" s="32"/>
      <c r="B116" s="21" t="str">
        <f aca="false">IF($A116="","",IFERROR(INDEX('OCTMS Risk Map'!$B$4:$B$129,MATCH($A116,'OCTMS Risk Map'!$A$4:$A$129,0)),$B$2))</f>
        <v/>
      </c>
      <c r="C116" s="21" t="str">
        <f aca="false">IF($A116="","",IFERROR(INDEX('OCTMS Risk Map'!$C$4:$C$129,MATCH($A116,'OCTMS Risk Map'!$A$4:$A$129,0)),IF($B$2="H",3,IF($B$2="M",2,1))))</f>
        <v/>
      </c>
      <c r="D116" s="21" t="str">
        <f aca="false">IF($A116="","",IF(COUNTIF(F116:DA116,"&gt;0")&gt;0,1,0))</f>
        <v/>
      </c>
      <c r="E116" s="21" t="n">
        <f aca="false">IF(D116="",0,D116*C116)</f>
        <v>0</v>
      </c>
    </row>
    <row r="117" customFormat="false" ht="15" hidden="false" customHeight="false" outlineLevel="0" collapsed="false">
      <c r="A117" s="32"/>
      <c r="B117" s="21" t="str">
        <f aca="false">IF($A117="","",IFERROR(INDEX('OCTMS Risk Map'!$B$4:$B$129,MATCH($A117,'OCTMS Risk Map'!$A$4:$A$129,0)),$B$2))</f>
        <v/>
      </c>
      <c r="C117" s="21" t="str">
        <f aca="false">IF($A117="","",IFERROR(INDEX('OCTMS Risk Map'!$C$4:$C$129,MATCH($A117,'OCTMS Risk Map'!$A$4:$A$129,0)),IF($B$2="H",3,IF($B$2="M",2,1))))</f>
        <v/>
      </c>
      <c r="D117" s="21" t="str">
        <f aca="false">IF($A117="","",IF(COUNTIF(F117:DA117,"&gt;0")&gt;0,1,0))</f>
        <v/>
      </c>
      <c r="E117" s="21" t="n">
        <f aca="false">IF(D117="",0,D117*C117)</f>
        <v>0</v>
      </c>
    </row>
    <row r="118" customFormat="false" ht="15" hidden="false" customHeight="false" outlineLevel="0" collapsed="false">
      <c r="A118" s="32"/>
      <c r="B118" s="21" t="str">
        <f aca="false">IF($A118="","",IFERROR(INDEX('OCTMS Risk Map'!$B$4:$B$129,MATCH($A118,'OCTMS Risk Map'!$A$4:$A$129,0)),$B$2))</f>
        <v/>
      </c>
      <c r="C118" s="21" t="str">
        <f aca="false">IF($A118="","",IFERROR(INDEX('OCTMS Risk Map'!$C$4:$C$129,MATCH($A118,'OCTMS Risk Map'!$A$4:$A$129,0)),IF($B$2="H",3,IF($B$2="M",2,1))))</f>
        <v/>
      </c>
      <c r="D118" s="21" t="str">
        <f aca="false">IF($A118="","",IF(COUNTIF(F118:DA118,"&gt;0")&gt;0,1,0))</f>
        <v/>
      </c>
      <c r="E118" s="21" t="n">
        <f aca="false">IF(D118="",0,D118*C118)</f>
        <v>0</v>
      </c>
    </row>
    <row r="119" customFormat="false" ht="15" hidden="false" customHeight="false" outlineLevel="0" collapsed="false">
      <c r="A119" s="32"/>
      <c r="B119" s="21" t="str">
        <f aca="false">IF($A119="","",IFERROR(INDEX('OCTMS Risk Map'!$B$4:$B$129,MATCH($A119,'OCTMS Risk Map'!$A$4:$A$129,0)),$B$2))</f>
        <v/>
      </c>
      <c r="C119" s="21" t="str">
        <f aca="false">IF($A119="","",IFERROR(INDEX('OCTMS Risk Map'!$C$4:$C$129,MATCH($A119,'OCTMS Risk Map'!$A$4:$A$129,0)),IF($B$2="H",3,IF($B$2="M",2,1))))</f>
        <v/>
      </c>
      <c r="D119" s="21" t="str">
        <f aca="false">IF($A119="","",IF(COUNTIF(F119:DA119,"&gt;0")&gt;0,1,0))</f>
        <v/>
      </c>
      <c r="E119" s="21" t="n">
        <f aca="false">IF(D119="",0,D119*C119)</f>
        <v>0</v>
      </c>
    </row>
    <row r="120" customFormat="false" ht="15" hidden="false" customHeight="false" outlineLevel="0" collapsed="false">
      <c r="A120" s="32"/>
      <c r="B120" s="21" t="str">
        <f aca="false">IF($A120="","",IFERROR(INDEX('OCTMS Risk Map'!$B$4:$B$129,MATCH($A120,'OCTMS Risk Map'!$A$4:$A$129,0)),$B$2))</f>
        <v/>
      </c>
      <c r="C120" s="21" t="str">
        <f aca="false">IF($A120="","",IFERROR(INDEX('OCTMS Risk Map'!$C$4:$C$129,MATCH($A120,'OCTMS Risk Map'!$A$4:$A$129,0)),IF($B$2="H",3,IF($B$2="M",2,1))))</f>
        <v/>
      </c>
      <c r="D120" s="21" t="str">
        <f aca="false">IF($A120="","",IF(COUNTIF(F120:DA120,"&gt;0")&gt;0,1,0))</f>
        <v/>
      </c>
      <c r="E120" s="21" t="n">
        <f aca="false">IF(D120="",0,D120*C120)</f>
        <v>0</v>
      </c>
    </row>
    <row r="121" customFormat="false" ht="15" hidden="false" customHeight="false" outlineLevel="0" collapsed="false">
      <c r="A121" s="32"/>
      <c r="B121" s="21" t="str">
        <f aca="false">IF($A121="","",IFERROR(INDEX('OCTMS Risk Map'!$B$4:$B$129,MATCH($A121,'OCTMS Risk Map'!$A$4:$A$129,0)),$B$2))</f>
        <v/>
      </c>
      <c r="C121" s="21" t="str">
        <f aca="false">IF($A121="","",IFERROR(INDEX('OCTMS Risk Map'!$C$4:$C$129,MATCH($A121,'OCTMS Risk Map'!$A$4:$A$129,0)),IF($B$2="H",3,IF($B$2="M",2,1))))</f>
        <v/>
      </c>
      <c r="D121" s="21" t="str">
        <f aca="false">IF($A121="","",IF(COUNTIF(F121:DA121,"&gt;0")&gt;0,1,0))</f>
        <v/>
      </c>
      <c r="E121" s="21" t="n">
        <f aca="false">IF(D121="",0,D121*C121)</f>
        <v>0</v>
      </c>
    </row>
    <row r="122" customFormat="false" ht="15" hidden="false" customHeight="false" outlineLevel="0" collapsed="false">
      <c r="A122" s="32"/>
      <c r="B122" s="21" t="str">
        <f aca="false">IF($A122="","",IFERROR(INDEX('OCTMS Risk Map'!$B$4:$B$129,MATCH($A122,'OCTMS Risk Map'!$A$4:$A$129,0)),$B$2))</f>
        <v/>
      </c>
      <c r="C122" s="21" t="str">
        <f aca="false">IF($A122="","",IFERROR(INDEX('OCTMS Risk Map'!$C$4:$C$129,MATCH($A122,'OCTMS Risk Map'!$A$4:$A$129,0)),IF($B$2="H",3,IF($B$2="M",2,1))))</f>
        <v/>
      </c>
      <c r="D122" s="21" t="str">
        <f aca="false">IF($A122="","",IF(COUNTIF(F122:DA122,"&gt;0")&gt;0,1,0))</f>
        <v/>
      </c>
      <c r="E122" s="21" t="n">
        <f aca="false">IF(D122="",0,D122*C122)</f>
        <v>0</v>
      </c>
    </row>
    <row r="123" customFormat="false" ht="15" hidden="false" customHeight="false" outlineLevel="0" collapsed="false">
      <c r="A123" s="32"/>
      <c r="B123" s="21" t="str">
        <f aca="false">IF($A123="","",IFERROR(INDEX('OCTMS Risk Map'!$B$4:$B$129,MATCH($A123,'OCTMS Risk Map'!$A$4:$A$129,0)),$B$2))</f>
        <v/>
      </c>
      <c r="C123" s="21" t="str">
        <f aca="false">IF($A123="","",IFERROR(INDEX('OCTMS Risk Map'!$C$4:$C$129,MATCH($A123,'OCTMS Risk Map'!$A$4:$A$129,0)),IF($B$2="H",3,IF($B$2="M",2,1))))</f>
        <v/>
      </c>
      <c r="D123" s="21" t="str">
        <f aca="false">IF($A123="","",IF(COUNTIF(F123:DA123,"&gt;0")&gt;0,1,0))</f>
        <v/>
      </c>
      <c r="E123" s="21" t="n">
        <f aca="false">IF(D123="",0,D123*C123)</f>
        <v>0</v>
      </c>
    </row>
    <row r="124" customFormat="false" ht="15" hidden="false" customHeight="false" outlineLevel="0" collapsed="false">
      <c r="A124" s="32"/>
      <c r="B124" s="21" t="str">
        <f aca="false">IF($A124="","",IFERROR(INDEX('OCTMS Risk Map'!$B$4:$B$129,MATCH($A124,'OCTMS Risk Map'!$A$4:$A$129,0)),$B$2))</f>
        <v/>
      </c>
      <c r="C124" s="21" t="str">
        <f aca="false">IF($A124="","",IFERROR(INDEX('OCTMS Risk Map'!$C$4:$C$129,MATCH($A124,'OCTMS Risk Map'!$A$4:$A$129,0)),IF($B$2="H",3,IF($B$2="M",2,1))))</f>
        <v/>
      </c>
      <c r="D124" s="21" t="str">
        <f aca="false">IF($A124="","",IF(COUNTIF(F124:DA124,"&gt;0")&gt;0,1,0))</f>
        <v/>
      </c>
      <c r="E124" s="21" t="n">
        <f aca="false">IF(D124="",0,D124*C124)</f>
        <v>0</v>
      </c>
    </row>
    <row r="125" customFormat="false" ht="15" hidden="false" customHeight="false" outlineLevel="0" collapsed="false">
      <c r="A125" s="32"/>
      <c r="B125" s="21" t="str">
        <f aca="false">IF($A125="","",IFERROR(INDEX('OCTMS Risk Map'!$B$4:$B$129,MATCH($A125,'OCTMS Risk Map'!$A$4:$A$129,0)),$B$2))</f>
        <v/>
      </c>
      <c r="C125" s="21" t="str">
        <f aca="false">IF($A125="","",IFERROR(INDEX('OCTMS Risk Map'!$C$4:$C$129,MATCH($A125,'OCTMS Risk Map'!$A$4:$A$129,0)),IF($B$2="H",3,IF($B$2="M",2,1))))</f>
        <v/>
      </c>
      <c r="D125" s="21" t="str">
        <f aca="false">IF($A125="","",IF(COUNTIF(F125:DA125,"&gt;0")&gt;0,1,0))</f>
        <v/>
      </c>
      <c r="E125" s="21" t="n">
        <f aca="false">IF(D125="",0,D125*C125)</f>
        <v>0</v>
      </c>
    </row>
    <row r="126" customFormat="false" ht="15" hidden="false" customHeight="false" outlineLevel="0" collapsed="false">
      <c r="A126" s="32"/>
      <c r="B126" s="21" t="str">
        <f aca="false">IF($A126="","",IFERROR(INDEX('OCTMS Risk Map'!$B$4:$B$129,MATCH($A126,'OCTMS Risk Map'!$A$4:$A$129,0)),$B$2))</f>
        <v/>
      </c>
      <c r="C126" s="21" t="str">
        <f aca="false">IF($A126="","",IFERROR(INDEX('OCTMS Risk Map'!$C$4:$C$129,MATCH($A126,'OCTMS Risk Map'!$A$4:$A$129,0)),IF($B$2="H",3,IF($B$2="M",2,1))))</f>
        <v/>
      </c>
      <c r="D126" s="21" t="str">
        <f aca="false">IF($A126="","",IF(COUNTIF(F126:DA126,"&gt;0")&gt;0,1,0))</f>
        <v/>
      </c>
      <c r="E126" s="21" t="n">
        <f aca="false">IF(D126="",0,D126*C126)</f>
        <v>0</v>
      </c>
    </row>
    <row r="127" customFormat="false" ht="15" hidden="false" customHeight="false" outlineLevel="0" collapsed="false">
      <c r="A127" s="32"/>
      <c r="B127" s="21" t="str">
        <f aca="false">IF($A127="","",IFERROR(INDEX('OCTMS Risk Map'!$B$4:$B$129,MATCH($A127,'OCTMS Risk Map'!$A$4:$A$129,0)),$B$2))</f>
        <v/>
      </c>
      <c r="C127" s="21" t="str">
        <f aca="false">IF($A127="","",IFERROR(INDEX('OCTMS Risk Map'!$C$4:$C$129,MATCH($A127,'OCTMS Risk Map'!$A$4:$A$129,0)),IF($B$2="H",3,IF($B$2="M",2,1))))</f>
        <v/>
      </c>
      <c r="D127" s="21" t="str">
        <f aca="false">IF($A127="","",IF(COUNTIF(F127:DA127,"&gt;0")&gt;0,1,0))</f>
        <v/>
      </c>
      <c r="E127" s="21" t="n">
        <f aca="false">IF(D127="",0,D127*C127)</f>
        <v>0</v>
      </c>
    </row>
    <row r="128" customFormat="false" ht="15" hidden="false" customHeight="false" outlineLevel="0" collapsed="false">
      <c r="A128" s="32"/>
      <c r="B128" s="21" t="str">
        <f aca="false">IF($A128="","",IFERROR(INDEX('OCTMS Risk Map'!$B$4:$B$129,MATCH($A128,'OCTMS Risk Map'!$A$4:$A$129,0)),$B$2))</f>
        <v/>
      </c>
      <c r="C128" s="21" t="str">
        <f aca="false">IF($A128="","",IFERROR(INDEX('OCTMS Risk Map'!$C$4:$C$129,MATCH($A128,'OCTMS Risk Map'!$A$4:$A$129,0)),IF($B$2="H",3,IF($B$2="M",2,1))))</f>
        <v/>
      </c>
      <c r="D128" s="21" t="str">
        <f aca="false">IF($A128="","",IF(COUNTIF(F128:DA128,"&gt;0")&gt;0,1,0))</f>
        <v/>
      </c>
      <c r="E128" s="21" t="n">
        <f aca="false">IF(D128="",0,D128*C128)</f>
        <v>0</v>
      </c>
    </row>
    <row r="129" customFormat="false" ht="15" hidden="false" customHeight="false" outlineLevel="0" collapsed="false">
      <c r="A129" s="32"/>
      <c r="B129" s="21" t="str">
        <f aca="false">IF($A129="","",IFERROR(INDEX('OCTMS Risk Map'!$B$4:$B$129,MATCH($A129,'OCTMS Risk Map'!$A$4:$A$129,0)),$B$2))</f>
        <v/>
      </c>
      <c r="C129" s="21" t="str">
        <f aca="false">IF($A129="","",IFERROR(INDEX('OCTMS Risk Map'!$C$4:$C$129,MATCH($A129,'OCTMS Risk Map'!$A$4:$A$129,0)),IF($B$2="H",3,IF($B$2="M",2,1))))</f>
        <v/>
      </c>
      <c r="D129" s="21" t="str">
        <f aca="false">IF($A129="","",IF(COUNTIF(F129:DA129,"&gt;0")&gt;0,1,0))</f>
        <v/>
      </c>
      <c r="E129" s="21" t="n">
        <f aca="false">IF(D129="",0,D129*C129)</f>
        <v>0</v>
      </c>
    </row>
    <row r="130" customFormat="false" ht="15" hidden="false" customHeight="false" outlineLevel="0" collapsed="false">
      <c r="A130" s="32"/>
      <c r="B130" s="21" t="str">
        <f aca="false">IF($A130="","",IFERROR(INDEX('OCTMS Risk Map'!$B$4:$B$129,MATCH($A130,'OCTMS Risk Map'!$A$4:$A$129,0)),$B$2))</f>
        <v/>
      </c>
      <c r="C130" s="21" t="str">
        <f aca="false">IF($A130="","",IFERROR(INDEX('OCTMS Risk Map'!$C$4:$C$129,MATCH($A130,'OCTMS Risk Map'!$A$4:$A$129,0)),IF($B$2="H",3,IF($B$2="M",2,1))))</f>
        <v/>
      </c>
      <c r="D130" s="21" t="str">
        <f aca="false">IF($A130="","",IF(COUNTIF(F130:DA130,"&gt;0")&gt;0,1,0))</f>
        <v/>
      </c>
      <c r="E130" s="21" t="n">
        <f aca="false">IF(D130="",0,D130*C130)</f>
        <v>0</v>
      </c>
    </row>
    <row r="131" customFormat="false" ht="15" hidden="false" customHeight="false" outlineLevel="0" collapsed="false">
      <c r="A131" s="32"/>
      <c r="B131" s="21" t="str">
        <f aca="false">IF($A131="","",IFERROR(INDEX('OCTMS Risk Map'!$B$4:$B$129,MATCH($A131,'OCTMS Risk Map'!$A$4:$A$129,0)),$B$2))</f>
        <v/>
      </c>
      <c r="C131" s="21" t="str">
        <f aca="false">IF($A131="","",IFERROR(INDEX('OCTMS Risk Map'!$C$4:$C$129,MATCH($A131,'OCTMS Risk Map'!$A$4:$A$129,0)),IF($B$2="H",3,IF($B$2="M",2,1))))</f>
        <v/>
      </c>
      <c r="D131" s="21" t="str">
        <f aca="false">IF($A131="","",IF(COUNTIF(F131:DA131,"&gt;0")&gt;0,1,0))</f>
        <v/>
      </c>
      <c r="E131" s="21" t="n">
        <f aca="false">IF(D131="",0,D131*C131)</f>
        <v>0</v>
      </c>
    </row>
    <row r="132" customFormat="false" ht="15" hidden="false" customHeight="false" outlineLevel="0" collapsed="false">
      <c r="A132" s="32"/>
      <c r="B132" s="21" t="str">
        <f aca="false">IF($A132="","",IFERROR(INDEX('OCTMS Risk Map'!$B$4:$B$129,MATCH($A132,'OCTMS Risk Map'!$A$4:$A$129,0)),$B$2))</f>
        <v/>
      </c>
      <c r="C132" s="21" t="str">
        <f aca="false">IF($A132="","",IFERROR(INDEX('OCTMS Risk Map'!$C$4:$C$129,MATCH($A132,'OCTMS Risk Map'!$A$4:$A$129,0)),IF($B$2="H",3,IF($B$2="M",2,1))))</f>
        <v/>
      </c>
      <c r="D132" s="21" t="str">
        <f aca="false">IF($A132="","",IF(COUNTIF(F132:DA132,"&gt;0")&gt;0,1,0))</f>
        <v/>
      </c>
      <c r="E132" s="21" t="n">
        <f aca="false">IF(D132="",0,D132*C132)</f>
        <v>0</v>
      </c>
    </row>
    <row r="133" customFormat="false" ht="15" hidden="false" customHeight="false" outlineLevel="0" collapsed="false">
      <c r="A133" s="32"/>
      <c r="B133" s="21" t="str">
        <f aca="false">IF($A133="","",IFERROR(INDEX('OCTMS Risk Map'!$B$4:$B$129,MATCH($A133,'OCTMS Risk Map'!$A$4:$A$129,0)),$B$2))</f>
        <v/>
      </c>
      <c r="C133" s="21" t="str">
        <f aca="false">IF($A133="","",IFERROR(INDEX('OCTMS Risk Map'!$C$4:$C$129,MATCH($A133,'OCTMS Risk Map'!$A$4:$A$129,0)),IF($B$2="H",3,IF($B$2="M",2,1))))</f>
        <v/>
      </c>
      <c r="D133" s="21" t="str">
        <f aca="false">IF($A133="","",IF(COUNTIF(F133:DA133,"&gt;0")&gt;0,1,0))</f>
        <v/>
      </c>
      <c r="E133" s="21" t="n">
        <f aca="false">IF(D133="",0,D133*C133)</f>
        <v>0</v>
      </c>
    </row>
    <row r="134" customFormat="false" ht="15" hidden="false" customHeight="false" outlineLevel="0" collapsed="false">
      <c r="A134" s="32"/>
      <c r="B134" s="21" t="str">
        <f aca="false">IF($A134="","",IFERROR(INDEX('OCTMS Risk Map'!$B$4:$B$129,MATCH($A134,'OCTMS Risk Map'!$A$4:$A$129,0)),$B$2))</f>
        <v/>
      </c>
      <c r="C134" s="21" t="str">
        <f aca="false">IF($A134="","",IFERROR(INDEX('OCTMS Risk Map'!$C$4:$C$129,MATCH($A134,'OCTMS Risk Map'!$A$4:$A$129,0)),IF($B$2="H",3,IF($B$2="M",2,1))))</f>
        <v/>
      </c>
      <c r="D134" s="21" t="str">
        <f aca="false">IF($A134="","",IF(COUNTIF(F134:DA134,"&gt;0")&gt;0,1,0))</f>
        <v/>
      </c>
      <c r="E134" s="21" t="n">
        <f aca="false">IF(D134="",0,D134*C134)</f>
        <v>0</v>
      </c>
    </row>
    <row r="135" customFormat="false" ht="15" hidden="false" customHeight="false" outlineLevel="0" collapsed="false">
      <c r="A135" s="32"/>
      <c r="B135" s="21" t="str">
        <f aca="false">IF($A135="","",IFERROR(INDEX('OCTMS Risk Map'!$B$4:$B$129,MATCH($A135,'OCTMS Risk Map'!$A$4:$A$129,0)),$B$2))</f>
        <v/>
      </c>
      <c r="C135" s="21" t="str">
        <f aca="false">IF($A135="","",IFERROR(INDEX('OCTMS Risk Map'!$C$4:$C$129,MATCH($A135,'OCTMS Risk Map'!$A$4:$A$129,0)),IF($B$2="H",3,IF($B$2="M",2,1))))</f>
        <v/>
      </c>
      <c r="D135" s="21" t="str">
        <f aca="false">IF($A135="","",IF(COUNTIF(F135:DA135,"&gt;0")&gt;0,1,0))</f>
        <v/>
      </c>
      <c r="E135" s="21" t="n">
        <f aca="false">IF(D135="",0,D135*C135)</f>
        <v>0</v>
      </c>
    </row>
    <row r="138" customFormat="false" ht="15" hidden="false" customHeight="false" outlineLevel="0" collapsed="false">
      <c r="A138" s="8" t="s">
        <v>284</v>
      </c>
      <c r="F138" s="21" t="n">
        <f aca="false">IF(F$5="","",IF(COUNTIF(F7:F135,"&gt;0")&gt;0,1,0))</f>
        <v>0</v>
      </c>
      <c r="G138" s="21" t="n">
        <f aca="false">IF(G$5="","",IF(COUNTIF(G7:G135,"&gt;0")&gt;0,1,0))</f>
        <v>0</v>
      </c>
      <c r="H138" s="21" t="n">
        <f aca="false">IF(H$5="","",IF(COUNTIF(H7:H135,"&gt;0")&gt;0,1,0))</f>
        <v>0</v>
      </c>
      <c r="I138" s="21" t="str">
        <f aca="false">IF(I$5="","",IF(COUNTIF(I7:I135,"&gt;0")&gt;0,1,0))</f>
        <v/>
      </c>
      <c r="J138" s="21" t="str">
        <f aca="false">IF(J$5="","",IF(COUNTIF(J7:J135,"&gt;0")&gt;0,1,0))</f>
        <v/>
      </c>
      <c r="K138" s="21" t="str">
        <f aca="false">IF(K$5="","",IF(COUNTIF(K7:K135,"&gt;0")&gt;0,1,0))</f>
        <v/>
      </c>
      <c r="L138" s="21" t="str">
        <f aca="false">IF(L$5="","",IF(COUNTIF(L7:L135,"&gt;0")&gt;0,1,0))</f>
        <v/>
      </c>
      <c r="M138" s="21" t="str">
        <f aca="false">IF(M$5="","",IF(COUNTIF(M7:M135,"&gt;0")&gt;0,1,0))</f>
        <v/>
      </c>
      <c r="N138" s="21" t="str">
        <f aca="false">IF(N$5="","",IF(COUNTIF(N7:N135,"&gt;0")&gt;0,1,0))</f>
        <v/>
      </c>
      <c r="O138" s="21" t="str">
        <f aca="false">IF(O$5="","",IF(COUNTIF(O7:O135,"&gt;0")&gt;0,1,0))</f>
        <v/>
      </c>
      <c r="P138" s="21" t="str">
        <f aca="false">IF(P$5="","",IF(COUNTIF(P7:P135,"&gt;0")&gt;0,1,0))</f>
        <v/>
      </c>
      <c r="Q138" s="21" t="str">
        <f aca="false">IF(Q$5="","",IF(COUNTIF(Q7:Q135,"&gt;0")&gt;0,1,0))</f>
        <v/>
      </c>
      <c r="R138" s="21" t="str">
        <f aca="false">IF(R$5="","",IF(COUNTIF(R7:R135,"&gt;0")&gt;0,1,0))</f>
        <v/>
      </c>
      <c r="S138" s="21" t="str">
        <f aca="false">IF(S$5="","",IF(COUNTIF(S7:S135,"&gt;0")&gt;0,1,0))</f>
        <v/>
      </c>
      <c r="T138" s="21" t="str">
        <f aca="false">IF(T$5="","",IF(COUNTIF(T7:T135,"&gt;0")&gt;0,1,0))</f>
        <v/>
      </c>
      <c r="U138" s="21" t="str">
        <f aca="false">IF(U$5="","",IF(COUNTIF(U7:U135,"&gt;0")&gt;0,1,0))</f>
        <v/>
      </c>
      <c r="V138" s="21" t="str">
        <f aca="false">IF(V$5="","",IF(COUNTIF(V7:V135,"&gt;0")&gt;0,1,0))</f>
        <v/>
      </c>
      <c r="W138" s="21" t="str">
        <f aca="false">IF(W$5="","",IF(COUNTIF(W7:W135,"&gt;0")&gt;0,1,0))</f>
        <v/>
      </c>
      <c r="X138" s="21" t="str">
        <f aca="false">IF(X$5="","",IF(COUNTIF(X7:X135,"&gt;0")&gt;0,1,0))</f>
        <v/>
      </c>
      <c r="Y138" s="21" t="str">
        <f aca="false">IF(Y$5="","",IF(COUNTIF(Y7:Y135,"&gt;0")&gt;0,1,0))</f>
        <v/>
      </c>
      <c r="Z138" s="21" t="str">
        <f aca="false">IF(Z$5="","",IF(COUNTIF(Z7:Z135,"&gt;0")&gt;0,1,0))</f>
        <v/>
      </c>
      <c r="AA138" s="21" t="str">
        <f aca="false">IF(AA$5="","",IF(COUNTIF(AA7:AA135,"&gt;0")&gt;0,1,0))</f>
        <v/>
      </c>
      <c r="AB138" s="21" t="str">
        <f aca="false">IF(AB$5="","",IF(COUNTIF(AB7:AB135,"&gt;0")&gt;0,1,0))</f>
        <v/>
      </c>
      <c r="AC138" s="21" t="str">
        <f aca="false">IF(AC$5="","",IF(COUNTIF(AC7:AC135,"&gt;0")&gt;0,1,0))</f>
        <v/>
      </c>
      <c r="AD138" s="21" t="str">
        <f aca="false">IF(AD$5="","",IF(COUNTIF(AD7:AD135,"&gt;0")&gt;0,1,0))</f>
        <v/>
      </c>
      <c r="AE138" s="21" t="str">
        <f aca="false">IF(AE$5="","",IF(COUNTIF(AE7:AE135,"&gt;0")&gt;0,1,0))</f>
        <v/>
      </c>
      <c r="AF138" s="21" t="str">
        <f aca="false">IF(AF$5="","",IF(COUNTIF(AF7:AF135,"&gt;0")&gt;0,1,0))</f>
        <v/>
      </c>
      <c r="AG138" s="21" t="str">
        <f aca="false">IF(AG$5="","",IF(COUNTIF(AG7:AG135,"&gt;0")&gt;0,1,0))</f>
        <v/>
      </c>
      <c r="AH138" s="21" t="str">
        <f aca="false">IF(AH$5="","",IF(COUNTIF(AH7:AH135,"&gt;0")&gt;0,1,0))</f>
        <v/>
      </c>
      <c r="AI138" s="21" t="str">
        <f aca="false">IF(AI$5="","",IF(COUNTIF(AI7:AI135,"&gt;0")&gt;0,1,0))</f>
        <v/>
      </c>
      <c r="AJ138" s="21" t="str">
        <f aca="false">IF(AJ$5="","",IF(COUNTIF(AJ7:AJ135,"&gt;0")&gt;0,1,0))</f>
        <v/>
      </c>
      <c r="AK138" s="21" t="str">
        <f aca="false">IF(AK$5="","",IF(COUNTIF(AK7:AK135,"&gt;0")&gt;0,1,0))</f>
        <v/>
      </c>
      <c r="AL138" s="21" t="str">
        <f aca="false">IF(AL$5="","",IF(COUNTIF(AL7:AL135,"&gt;0")&gt;0,1,0))</f>
        <v/>
      </c>
      <c r="AM138" s="21" t="str">
        <f aca="false">IF(AM$5="","",IF(COUNTIF(AM7:AM135,"&gt;0")&gt;0,1,0))</f>
        <v/>
      </c>
      <c r="AN138" s="21" t="str">
        <f aca="false">IF(AN$5="","",IF(COUNTIF(AN7:AN135,"&gt;0")&gt;0,1,0))</f>
        <v/>
      </c>
      <c r="AO138" s="21" t="str">
        <f aca="false">IF(AO$5="","",IF(COUNTIF(AO7:AO135,"&gt;0")&gt;0,1,0))</f>
        <v/>
      </c>
      <c r="AP138" s="21" t="str">
        <f aca="false">IF(AP$5="","",IF(COUNTIF(AP7:AP135,"&gt;0")&gt;0,1,0))</f>
        <v/>
      </c>
      <c r="AQ138" s="21" t="str">
        <f aca="false">IF(AQ$5="","",IF(COUNTIF(AQ7:AQ135,"&gt;0")&gt;0,1,0))</f>
        <v/>
      </c>
      <c r="AR138" s="21" t="str">
        <f aca="false">IF(AR$5="","",IF(COUNTIF(AR7:AR135,"&gt;0")&gt;0,1,0))</f>
        <v/>
      </c>
      <c r="AS138" s="21" t="str">
        <f aca="false">IF(AS$5="","",IF(COUNTIF(AS7:AS135,"&gt;0")&gt;0,1,0))</f>
        <v/>
      </c>
      <c r="AT138" s="21" t="str">
        <f aca="false">IF(AT$5="","",IF(COUNTIF(AT7:AT135,"&gt;0")&gt;0,1,0))</f>
        <v/>
      </c>
      <c r="AU138" s="21" t="str">
        <f aca="false">IF(AU$5="","",IF(COUNTIF(AU7:AU135,"&gt;0")&gt;0,1,0))</f>
        <v/>
      </c>
      <c r="AV138" s="21" t="str">
        <f aca="false">IF(AV$5="","",IF(COUNTIF(AV7:AV135,"&gt;0")&gt;0,1,0))</f>
        <v/>
      </c>
      <c r="AW138" s="21" t="str">
        <f aca="false">IF(AW$5="","",IF(COUNTIF(AW7:AW135,"&gt;0")&gt;0,1,0))</f>
        <v/>
      </c>
      <c r="AX138" s="21" t="str">
        <f aca="false">IF(AX$5="","",IF(COUNTIF(AX7:AX135,"&gt;0")&gt;0,1,0))</f>
        <v/>
      </c>
      <c r="AY138" s="21" t="str">
        <f aca="false">IF(AY$5="","",IF(COUNTIF(AY7:AY135,"&gt;0")&gt;0,1,0))</f>
        <v/>
      </c>
      <c r="AZ138" s="21" t="str">
        <f aca="false">IF(AZ$5="","",IF(COUNTIF(AZ7:AZ135,"&gt;0")&gt;0,1,0))</f>
        <v/>
      </c>
      <c r="BA138" s="21" t="str">
        <f aca="false">IF(BA$5="","",IF(COUNTIF(BA7:BA135,"&gt;0")&gt;0,1,0))</f>
        <v/>
      </c>
      <c r="BB138" s="21" t="str">
        <f aca="false">IF(BB$5="","",IF(COUNTIF(BB7:BB135,"&gt;0")&gt;0,1,0))</f>
        <v/>
      </c>
      <c r="BC138" s="21" t="str">
        <f aca="false">IF(BC$5="","",IF(COUNTIF(BC7:BC135,"&gt;0")&gt;0,1,0))</f>
        <v/>
      </c>
      <c r="BD138" s="21" t="str">
        <f aca="false">IF(BD$5="","",IF(COUNTIF(BD7:BD135,"&gt;0")&gt;0,1,0))</f>
        <v/>
      </c>
      <c r="BE138" s="21" t="str">
        <f aca="false">IF(BE$5="","",IF(COUNTIF(BE7:BE135,"&gt;0")&gt;0,1,0))</f>
        <v/>
      </c>
      <c r="BF138" s="21" t="str">
        <f aca="false">IF(BF$5="","",IF(COUNTIF(BF7:BF135,"&gt;0")&gt;0,1,0))</f>
        <v/>
      </c>
      <c r="BG138" s="21" t="str">
        <f aca="false">IF(BG$5="","",IF(COUNTIF(BG7:BG135,"&gt;0")&gt;0,1,0))</f>
        <v/>
      </c>
      <c r="BH138" s="21" t="str">
        <f aca="false">IF(BH$5="","",IF(COUNTIF(BH7:BH135,"&gt;0")&gt;0,1,0))</f>
        <v/>
      </c>
      <c r="BI138" s="21" t="str">
        <f aca="false">IF(BI$5="","",IF(COUNTIF(BI7:BI135,"&gt;0")&gt;0,1,0))</f>
        <v/>
      </c>
      <c r="BJ138" s="21" t="str">
        <f aca="false">IF(BJ$5="","",IF(COUNTIF(BJ7:BJ135,"&gt;0")&gt;0,1,0))</f>
        <v/>
      </c>
      <c r="BK138" s="21" t="str">
        <f aca="false">IF(BK$5="","",IF(COUNTIF(BK7:BK135,"&gt;0")&gt;0,1,0))</f>
        <v/>
      </c>
      <c r="BL138" s="21" t="str">
        <f aca="false">IF(BL$5="","",IF(COUNTIF(BL7:BL135,"&gt;0")&gt;0,1,0))</f>
        <v/>
      </c>
      <c r="BM138" s="21" t="str">
        <f aca="false">IF(BM$5="","",IF(COUNTIF(BM7:BM135,"&gt;0")&gt;0,1,0))</f>
        <v/>
      </c>
      <c r="BN138" s="21" t="str">
        <f aca="false">IF(BN$5="","",IF(COUNTIF(BN7:BN135,"&gt;0")&gt;0,1,0))</f>
        <v/>
      </c>
      <c r="BO138" s="21" t="str">
        <f aca="false">IF(BO$5="","",IF(COUNTIF(BO7:BO135,"&gt;0")&gt;0,1,0))</f>
        <v/>
      </c>
      <c r="BP138" s="21" t="str">
        <f aca="false">IF(BP$5="","",IF(COUNTIF(BP7:BP135,"&gt;0")&gt;0,1,0))</f>
        <v/>
      </c>
      <c r="BQ138" s="21" t="str">
        <f aca="false">IF(BQ$5="","",IF(COUNTIF(BQ7:BQ135,"&gt;0")&gt;0,1,0))</f>
        <v/>
      </c>
      <c r="BR138" s="21" t="str">
        <f aca="false">IF(BR$5="","",IF(COUNTIF(BR7:BR135,"&gt;0")&gt;0,1,0))</f>
        <v/>
      </c>
      <c r="BS138" s="21" t="str">
        <f aca="false">IF(BS$5="","",IF(COUNTIF(BS7:BS135,"&gt;0")&gt;0,1,0))</f>
        <v/>
      </c>
      <c r="BT138" s="21" t="str">
        <f aca="false">IF(BT$5="","",IF(COUNTIF(BT7:BT135,"&gt;0")&gt;0,1,0))</f>
        <v/>
      </c>
      <c r="BU138" s="21" t="str">
        <f aca="false">IF(BU$5="","",IF(COUNTIF(BU7:BU135,"&gt;0")&gt;0,1,0))</f>
        <v/>
      </c>
      <c r="BV138" s="21" t="str">
        <f aca="false">IF(BV$5="","",IF(COUNTIF(BV7:BV135,"&gt;0")&gt;0,1,0))</f>
        <v/>
      </c>
      <c r="BW138" s="21" t="str">
        <f aca="false">IF(BW$5="","",IF(COUNTIF(BW7:BW135,"&gt;0")&gt;0,1,0))</f>
        <v/>
      </c>
      <c r="BX138" s="21" t="str">
        <f aca="false">IF(BX$5="","",IF(COUNTIF(BX7:BX135,"&gt;0")&gt;0,1,0))</f>
        <v/>
      </c>
      <c r="BY138" s="21" t="str">
        <f aca="false">IF(BY$5="","",IF(COUNTIF(BY7:BY135,"&gt;0")&gt;0,1,0))</f>
        <v/>
      </c>
      <c r="BZ138" s="21" t="str">
        <f aca="false">IF(BZ$5="","",IF(COUNTIF(BZ7:BZ135,"&gt;0")&gt;0,1,0))</f>
        <v/>
      </c>
      <c r="CA138" s="21" t="str">
        <f aca="false">IF(CA$5="","",IF(COUNTIF(CA7:CA135,"&gt;0")&gt;0,1,0))</f>
        <v/>
      </c>
      <c r="CB138" s="21" t="str">
        <f aca="false">IF(CB$5="","",IF(COUNTIF(CB7:CB135,"&gt;0")&gt;0,1,0))</f>
        <v/>
      </c>
      <c r="CC138" s="21" t="str">
        <f aca="false">IF(CC$5="","",IF(COUNTIF(CC7:CC135,"&gt;0")&gt;0,1,0))</f>
        <v/>
      </c>
      <c r="CD138" s="21" t="str">
        <f aca="false">IF(CD$5="","",IF(COUNTIF(CD7:CD135,"&gt;0")&gt;0,1,0))</f>
        <v/>
      </c>
      <c r="CE138" s="21" t="str">
        <f aca="false">IF(CE$5="","",IF(COUNTIF(CE7:CE135,"&gt;0")&gt;0,1,0))</f>
        <v/>
      </c>
      <c r="CF138" s="21" t="str">
        <f aca="false">IF(CF$5="","",IF(COUNTIF(CF7:CF135,"&gt;0")&gt;0,1,0))</f>
        <v/>
      </c>
      <c r="CG138" s="21" t="str">
        <f aca="false">IF(CG$5="","",IF(COUNTIF(CG7:CG135,"&gt;0")&gt;0,1,0))</f>
        <v/>
      </c>
      <c r="CH138" s="21" t="str">
        <f aca="false">IF(CH$5="","",IF(COUNTIF(CH7:CH135,"&gt;0")&gt;0,1,0))</f>
        <v/>
      </c>
      <c r="CI138" s="21" t="str">
        <f aca="false">IF(CI$5="","",IF(COUNTIF(CI7:CI135,"&gt;0")&gt;0,1,0))</f>
        <v/>
      </c>
      <c r="CJ138" s="21" t="str">
        <f aca="false">IF(CJ$5="","",IF(COUNTIF(CJ7:CJ135,"&gt;0")&gt;0,1,0))</f>
        <v/>
      </c>
      <c r="CK138" s="21" t="str">
        <f aca="false">IF(CK$5="","",IF(COUNTIF(CK7:CK135,"&gt;0")&gt;0,1,0))</f>
        <v/>
      </c>
      <c r="CL138" s="21" t="str">
        <f aca="false">IF(CL$5="","",IF(COUNTIF(CL7:CL135,"&gt;0")&gt;0,1,0))</f>
        <v/>
      </c>
      <c r="CM138" s="21" t="str">
        <f aca="false">IF(CM$5="","",IF(COUNTIF(CM7:CM135,"&gt;0")&gt;0,1,0))</f>
        <v/>
      </c>
      <c r="CN138" s="21" t="str">
        <f aca="false">IF(CN$5="","",IF(COUNTIF(CN7:CN135,"&gt;0")&gt;0,1,0))</f>
        <v/>
      </c>
      <c r="CO138" s="21" t="str">
        <f aca="false">IF(CO$5="","",IF(COUNTIF(CO7:CO135,"&gt;0")&gt;0,1,0))</f>
        <v/>
      </c>
      <c r="CP138" s="21" t="str">
        <f aca="false">IF(CP$5="","",IF(COUNTIF(CP7:CP135,"&gt;0")&gt;0,1,0))</f>
        <v/>
      </c>
      <c r="CQ138" s="21" t="str">
        <f aca="false">IF(CQ$5="","",IF(COUNTIF(CQ7:CQ135,"&gt;0")&gt;0,1,0))</f>
        <v/>
      </c>
      <c r="CR138" s="21" t="str">
        <f aca="false">IF(CR$5="","",IF(COUNTIF(CR7:CR135,"&gt;0")&gt;0,1,0))</f>
        <v/>
      </c>
      <c r="CS138" s="21" t="str">
        <f aca="false">IF(CS$5="","",IF(COUNTIF(CS7:CS135,"&gt;0")&gt;0,1,0))</f>
        <v/>
      </c>
      <c r="CT138" s="21" t="str">
        <f aca="false">IF(CT$5="","",IF(COUNTIF(CT7:CT135,"&gt;0")&gt;0,1,0))</f>
        <v/>
      </c>
      <c r="CU138" s="21" t="str">
        <f aca="false">IF(CU$5="","",IF(COUNTIF(CU7:CU135,"&gt;0")&gt;0,1,0))</f>
        <v/>
      </c>
      <c r="CV138" s="21" t="str">
        <f aca="false">IF(CV$5="","",IF(COUNTIF(CV7:CV135,"&gt;0")&gt;0,1,0))</f>
        <v/>
      </c>
      <c r="CW138" s="21" t="str">
        <f aca="false">IF(CW$5="","",IF(COUNTIF(CW7:CW135,"&gt;0")&gt;0,1,0))</f>
        <v/>
      </c>
      <c r="CX138" s="21" t="str">
        <f aca="false">IF(CX$5="","",IF(COUNTIF(CX7:CX135,"&gt;0")&gt;0,1,0))</f>
        <v/>
      </c>
      <c r="CY138" s="21" t="str">
        <f aca="false">IF(CY$5="","",IF(COUNTIF(CY7:CY135,"&gt;0")&gt;0,1,0))</f>
        <v/>
      </c>
      <c r="CZ138" s="21" t="str">
        <f aca="false">IF(CZ$5="","",IF(COUNTIF(CZ7:CZ135,"&gt;0")&gt;0,1,0))</f>
        <v/>
      </c>
      <c r="DA138" s="21" t="str">
        <f aca="false">IF(DA$5="","",IF(COUNTIF(DA7:DA135,"&gt;0")&gt;0,1,0))</f>
        <v/>
      </c>
    </row>
    <row r="140" customFormat="false" ht="15" hidden="false" customHeight="false" outlineLevel="0" collapsed="false">
      <c r="A140" s="6" t="s">
        <v>285</v>
      </c>
      <c r="B140" s="7"/>
      <c r="C140" s="7"/>
    </row>
    <row r="141" customFormat="false" ht="15" hidden="false" customHeight="false" outlineLevel="0" collapsed="false">
      <c r="A141" s="8" t="s">
        <v>270</v>
      </c>
      <c r="B141" s="16" t="n">
        <f aca="false">SUM(E7:E135)</f>
        <v>0</v>
      </c>
    </row>
    <row r="142" customFormat="false" ht="15" hidden="false" customHeight="false" outlineLevel="0" collapsed="false">
      <c r="A142" s="8" t="s">
        <v>271</v>
      </c>
      <c r="B142" s="26" t="n">
        <v>302</v>
      </c>
    </row>
    <row r="143" customFormat="false" ht="15" hidden="false" customHeight="false" outlineLevel="0" collapsed="false">
      <c r="A143" s="8" t="s">
        <v>272</v>
      </c>
      <c r="B143" s="27" t="n">
        <f aca="false">1-(B141/B142)</f>
        <v>1</v>
      </c>
    </row>
    <row r="144" customFormat="false" ht="15" hidden="false" customHeight="false" outlineLevel="0" collapsed="false">
      <c r="A144" s="13" t="s">
        <v>273</v>
      </c>
      <c r="B144" s="14" t="n">
        <f aca="false">MIN(1,MAX(0,ROUND(B143,2)))</f>
        <v>1</v>
      </c>
    </row>
    <row r="146" customFormat="false" ht="15" hidden="false" customHeight="false" outlineLevel="0" collapsed="false">
      <c r="A146" s="8" t="s">
        <v>274</v>
      </c>
      <c r="B146" s="28" t="n">
        <f aca="false">Calculator!$B$6</f>
        <v>55</v>
      </c>
    </row>
    <row r="147" customFormat="false" ht="15" hidden="false" customHeight="false" outlineLevel="0" collapsed="false">
      <c r="A147" s="8" t="s">
        <v>286</v>
      </c>
      <c r="B147" s="16" t="n">
        <f aca="false">SUM(F138:DA138)</f>
        <v>0</v>
      </c>
    </row>
    <row r="148" customFormat="false" ht="15" hidden="false" customHeight="false" outlineLevel="0" collapsed="false">
      <c r="A148" s="8" t="s">
        <v>276</v>
      </c>
      <c r="B148" s="27" t="n">
        <f aca="false">1-(B147/B146)</f>
        <v>1</v>
      </c>
    </row>
    <row r="149" customFormat="false" ht="15" hidden="false" customHeight="false" outlineLevel="0" collapsed="false">
      <c r="A149" s="13" t="s">
        <v>277</v>
      </c>
      <c r="B149" s="14" t="n">
        <f aca="false">MIN(1,MAX(0,ROUND(B148,2)))</f>
        <v>1</v>
      </c>
    </row>
  </sheetData>
  <dataValidations count="1">
    <dataValidation allowBlank="false" errorStyle="stop" operator="between" showDropDown="false" showErrorMessage="false" showInputMessage="false" sqref="B2" type="list">
      <formula1>"H,M,L"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2026-09-19T06:55:14Z</dcterms:created>
  <dc:creator>openpyxl</dc:creator>
  <dc:description/>
  <dc:language>en-US</dc:language>
  <cp:lastModifiedBy/>
  <dcterms:modified xsi:type="dcterms:W3CDTF">2026-09-19T06:55:14Z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